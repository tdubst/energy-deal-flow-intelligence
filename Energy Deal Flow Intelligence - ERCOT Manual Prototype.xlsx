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715f0c0bf6404f" /></Relationships>
</file>

<file path=xl/workbook.xml><?xml version="1.0" encoding="utf-8"?>
<x:workbook xmlns:x="http://schemas.openxmlformats.org/spreadsheetml/2006/main">
  <x:sheets>
    <x:sheet xmlns:r="http://schemas.openxmlformats.org/officeDocument/2006/relationships" name="README" sheetId="1" r:id="R033dcea0bc874be2"/>
    <x:sheet xmlns:r="http://schemas.openxmlformats.org/officeDocument/2006/relationships" name="Dashboard" sheetId="2" r:id="R2c8029d0c0104ec7"/>
    <x:sheet xmlns:r="http://schemas.openxmlformats.org/officeDocument/2006/relationships" name="Assets" sheetId="3" r:id="R355aa6e0ed294bce"/>
    <x:sheet xmlns:r="http://schemas.openxmlformats.org/officeDocument/2006/relationships" name="Signals" sheetId="4" r:id="R35ea5b33899e4bf1"/>
    <x:sheet xmlns:r="http://schemas.openxmlformats.org/officeDocument/2006/relationships" name="Sources" sheetId="5" r:id="Ra31fc53b5d3a4f40"/>
    <x:sheet xmlns:r="http://schemas.openxmlformats.org/officeDocument/2006/relationships" name="Scorecard" sheetId="6" r:id="R6af3f425cd2d4d09"/>
    <x:sheet xmlns:r="http://schemas.openxmlformats.org/officeDocument/2006/relationships" name="Nearby Demand" sheetId="7" r:id="Re1a7c96bc80b404b"/>
    <x:sheet xmlns:r="http://schemas.openxmlformats.org/officeDocument/2006/relationships" name="Lists" sheetId="8" r:id="R24546a8d1af845e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00"/>
    <x:numFmt numFmtId="202" formatCode="yyyy-mm-dd"/>
    <x:numFmt numFmtId="203" formatCode="0.0"/>
  </x:numFmts>
  <x:fonts count="9">
    <x:font>
      <x:sz val="11"/>
      <x:name val="Carlito"/>
    </x:font>
    <x:font>
      <x:sz val="11"/>
      <x:color rgb="FFFFFF"/>
      <x:name val="Carlito"/>
    </x:font>
    <x:font>
      <x:b/>
      <x:sz val="11"/>
      <x:color rgb="FFFFFF"/>
      <x:name val="Carlito"/>
    </x:font>
    <x:font>
      <x:b/>
      <x:sz val="18"/>
      <x:color rgb="FFFFFF"/>
      <x:name val="Carlito"/>
    </x:font>
    <x:font>
      <x:sz val="11"/>
      <x:color rgb="536471"/>
      <x:name val="Carlito"/>
    </x:font>
    <x:font>
      <x:sz val="11"/>
      <x:color rgb="1F2933"/>
      <x:name val="Carlito"/>
    </x:font>
    <x:font>
      <x:b/>
      <x:sz val="11"/>
      <x:color rgb="1F2933"/>
      <x:name val="Carlito"/>
    </x:font>
    <x:font>
      <x:b/>
      <x:sz val="10"/>
      <x:color rgb="FFFFFF"/>
      <x:name val="Carlito"/>
    </x:font>
    <x:font>
      <x:sz val="10"/>
      <x:name val="Carlito"/>
    </x:font>
  </x:fonts>
  <x:fills count="5">
    <x:fill>
      <x:patternFill patternType="none"/>
    </x:fill>
    <x:fill>
      <x:patternFill patternType="gray125"/>
    </x:fill>
    <x:fill>
      <x:patternFill patternType="solid">
        <x:fgColor rgb="12313F"/>
      </x:patternFill>
    </x:fill>
    <x:fill>
      <x:patternFill patternType="solid">
        <x:fgColor rgb="F3F6F7"/>
      </x:patternFill>
    </x:fill>
    <x:fill>
      <x:patternFill patternType="solid">
        <x:fgColor rgb="0F766E"/>
      </x:patternFill>
    </x:fill>
  </x:fills>
  <x:borders count="10">
    <x:border/>
    <x:border>
      <x:right>
        <x:color rgb="D7DEE2"/>
      </x:right>
      <x:bottom>
        <x:color rgb="D7DEE2"/>
      </x:bottom>
    </x:border>
    <x:border>
      <x:left>
        <x:color rgb="D7DEE2"/>
      </x:left>
      <x:bottom>
        <x:color rgb="D7DEE2"/>
      </x:bottom>
    </x:border>
    <x:border>
      <x:right>
        <x:color rgb="D7DEE2"/>
      </x:right>
      <x:top>
        <x:color rgb="D7DEE2"/>
      </x:top>
      <x:bottom>
        <x:color rgb="D7DEE2"/>
      </x:bottom>
    </x:border>
    <x:border>
      <x:left>
        <x:color rgb="D7DEE2"/>
      </x:left>
      <x:top>
        <x:color rgb="D7DEE2"/>
      </x:top>
      <x:bottom>
        <x:color rgb="D7DEE2"/>
      </x:bottom>
    </x:border>
    <x:border>
      <x:right>
        <x:color rgb="D7DEE2"/>
      </x:right>
      <x:top>
        <x:color rgb="D7DEE2"/>
      </x:top>
    </x:border>
    <x:border>
      <x:left>
        <x:color rgb="D7DEE2"/>
      </x:left>
      <x:top>
        <x:color rgb="D7DEE2"/>
      </x:top>
    </x:border>
    <x:border>
      <x:left>
        <x:color rgb="D7DEE2"/>
      </x:left>
      <x:right>
        <x:color rgb="D7DEE2"/>
      </x:right>
      <x:bottom>
        <x:color rgb="D7DEE2"/>
      </x:bottom>
    </x:border>
    <x:border>
      <x:left>
        <x:color rgb="D7DEE2"/>
      </x:left>
      <x:right>
        <x:color rgb="D7DEE2"/>
      </x:right>
      <x:top>
        <x:color rgb="D7DEE2"/>
      </x:top>
      <x:bottom>
        <x:color rgb="D7DEE2"/>
      </x:bottom>
    </x:border>
    <x:border>
      <x:left>
        <x:color rgb="D7DEE2"/>
      </x:left>
      <x:right>
        <x:color rgb="D7DEE2"/>
      </x:right>
      <x:top>
        <x:color rgb="D7DEE2"/>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1" xfId="0" applyNumberFormat="1" applyFont="1" applyFill="1" applyBorder="1" applyAlignment="1">
      <x:alignment wrapText="1"/>
    </x:xf>
    <x:xf numFmtId="0" fontId="5" fillId="3" borderId="2" xfId="0" applyNumberFormat="1" applyFont="1" applyFill="1" applyBorder="1" applyAlignment="1">
      <x:alignment wrapText="1"/>
    </x:xf>
    <x:xf numFmtId="0" fontId="6"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6" fillId="3" borderId="5" xfId="0" applyNumberFormat="1" applyFont="1" applyFill="1" applyBorder="1" applyAlignment="1">
      <x:alignment wrapText="1"/>
    </x:xf>
    <x:xf numFmtId="0" fontId="5" fillId="3" borderId="6"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200" fontId="0" fillId="3"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7" fillId="4" borderId="0" xfId="0" applyNumberFormat="1" applyFont="1" applyFill="1" applyBorder="1" applyAlignment="1">
      <x:alignment wrapText="1"/>
    </x:xf>
    <x:xf numFmtId="0" fontId="8" fillId="0" borderId="0" xfId="0" applyNumberFormat="1" applyFont="1" applyFill="1" applyBorder="1" applyAlignment="1">
      <x:alignment wrapText="1"/>
    </x:xf>
    <x:xf numFmtId="201" fontId="8" fillId="0" borderId="0" xfId="0" applyNumberFormat="1" applyFont="1" applyFill="1" applyBorder="1" applyAlignment="1">
      <x:alignment wrapText="1"/>
    </x:xf>
    <x:xf numFmtId="200" fontId="8" fillId="0" borderId="0" xfId="0" applyNumberFormat="1" applyFont="1" applyFill="1" applyBorder="1" applyAlignment="1">
      <x:alignment wrapText="1"/>
    </x:xf>
    <x:xf numFmtId="202" fontId="8" fillId="0" borderId="0" xfId="0" applyNumberFormat="1" applyFont="1" applyFill="1" applyBorder="1" applyAlignment="1">
      <x:alignment wrapText="1"/>
    </x:xf>
    <x:xf numFmtId="203" fontId="8"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7" xfId="0" applyNumberFormat="1" applyFont="1" applyFill="1" applyBorder="1" applyAlignment="1">
      <x:alignment wrapText="1"/>
    </x:xf>
    <x:xf numFmtId="0" fontId="2" fillId="4" borderId="2" xfId="0" applyNumberFormat="1" applyFont="1" applyFill="1" applyBorder="1" applyAlignment="1">
      <x:alignment wrapText="1"/>
    </x:xf>
    <x:xf numFmtId="0" fontId="0" fillId="3" borderId="3" xfId="0" applyNumberFormat="1" applyFont="1" applyFill="1" applyBorder="1"/>
    <x:xf numFmtId="0" fontId="0" fillId="3" borderId="8"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x:xf numFmtId="0" fontId="0" fillId="3" borderId="9" xfId="0" applyNumberFormat="1" applyFont="1" applyFill="1" applyBorder="1"/>
    <x:xf numFmtId="0" fontId="0" fillId="3" borderId="6" xfId="0" applyNumberFormat="1" applyFont="1" applyFill="1" applyBorder="1" applyAlignment="1">
      <x:alignment wrapText="1"/>
    </x:xf>
  </x:cellXfs>
  <x:cellStyles count="1">
    <x:cellStyle name="Normal" xfId="0"/>
  </x:cellStyles>
  <x:dxfs count="1">
    <x:dxf>
      <x:font>
        <x:b/>
        <x:color rgb="1F2933"/>
      </x:font>
    </x:dxf>
  </x:dxfs>
</x:styleSheet>
</file>

<file path=xl/_rels/workbook.xml.rels>&#65279;<?xml version="1.0" encoding="utf-8"?><Relationships xmlns="http://schemas.openxmlformats.org/package/2006/relationships"><Relationship Type="http://schemas.openxmlformats.org/officeDocument/2006/relationships/styles" Target="/xl/styles.xml" Id="Rca54b423aaf241d9" /><Relationship Type="http://schemas.openxmlformats.org/officeDocument/2006/relationships/theme" Target="/xl/theme/theme1.xml" Id="Ra2fbb7bf5a4d4b4a" /><Relationship Type="http://schemas.openxmlformats.org/officeDocument/2006/relationships/sharedStrings" Target="/xl/sharedStrings.xml" Id="Rd77be52776094a05" /><Relationship Type="http://schemas.openxmlformats.org/officeDocument/2006/relationships/worksheet" Target="/xl/worksheets/sheet1.xml" Id="R033dcea0bc874be2" /><Relationship Type="http://schemas.openxmlformats.org/officeDocument/2006/relationships/worksheet" Target="/xl/worksheets/sheet2.xml" Id="R2c8029d0c0104ec7" /><Relationship Type="http://schemas.openxmlformats.org/officeDocument/2006/relationships/worksheet" Target="/xl/worksheets/sheet3.xml" Id="R355aa6e0ed294bce" /><Relationship Type="http://schemas.openxmlformats.org/officeDocument/2006/relationships/worksheet" Target="/xl/worksheets/sheet4.xml" Id="R35ea5b33899e4bf1" /><Relationship Type="http://schemas.openxmlformats.org/officeDocument/2006/relationships/worksheet" Target="/xl/worksheets/sheet5.xml" Id="Ra31fc53b5d3a4f40" /><Relationship Type="http://schemas.openxmlformats.org/officeDocument/2006/relationships/worksheet" Target="/xl/worksheets/sheet6.xml" Id="R6af3f425cd2d4d09" /><Relationship Type="http://schemas.openxmlformats.org/officeDocument/2006/relationships/worksheet" Target="/xl/worksheets/sheet7.xml" Id="Re1a7c96bc80b404b" /><Relationship Type="http://schemas.openxmlformats.org/officeDocument/2006/relationships/worksheet" Target="/xl/worksheets/sheet8.xml" Id="R24546a8d1af845ee" /></Relationships>
</file>

<file path=xl/tables/table1.xml><?xml version="1.0" encoding="utf-8"?>
<x:table xmlns:x="http://schemas.openxmlformats.org/spreadsheetml/2006/main" id="1" name="AssetsTable" displayName="AssetsTable" ref="A1:V101" headerRowCount="1">
  <x:autoFilter ref="A1:V101"/>
  <x:tableColumns count="22">
    <x:tableColumn id="1" name="asset_id"/>
    <x:tableColumn id="2" name="asset_name"/>
    <x:tableColumn id="3" name="asset_type"/>
    <x:tableColumn id="4" name="status"/>
    <x:tableColumn id="5" name="developer"/>
    <x:tableColumn id="6" name="owner"/>
    <x:tableColumn id="7" name="parent_company"/>
    <x:tableColumn id="8" name="county"/>
    <x:tableColumn id="9" name="state"/>
    <x:tableColumn id="10" name="latitude"/>
    <x:tableColumn id="11" name="longitude"/>
    <x:tableColumn id="12" name="capacity_mw"/>
    <x:tableColumn id="13" name="energy_mwh"/>
    <x:tableColumn id="14" name="poi_name"/>
    <x:tableColumn id="15" name="voltage_kv"/>
    <x:tableColumn id="16" name="ercot_queue_id"/>
    <x:tableColumn id="17" name="confidence_level"/>
    <x:tableColumn id="18" name="public_or_private_grid"/>
    <x:tableColumn id="19" name="queue_date"/>
    <x:tableColumn id="20" name="interconnection_agreement_date"/>
    <x:tableColumn id="21" name="commercial_operation_date"/>
    <x:tableColumn id="22" name="notes"/>
  </x:tableColumns>
  <x:tableStyleInfo name="TableStyleMedium2" showRowStripes="1"/>
</x:table>
</file>

<file path=xl/tables/table2.xml><?xml version="1.0" encoding="utf-8"?>
<x:table xmlns:x="http://schemas.openxmlformats.org/spreadsheetml/2006/main" id="2" name="SignalsTable" displayName="SignalsTable" ref="A1:I301" headerRowCount="1">
  <x:autoFilter ref="A1:I301"/>
  <x:tableColumns count="9">
    <x:tableColumn id="1" name="signal_id"/>
    <x:tableColumn id="2" name="asset_id"/>
    <x:tableColumn id="3" name="signal_type"/>
    <x:tableColumn id="4" name="signal_date"/>
    <x:tableColumn id="5" name="signal_summary"/>
    <x:tableColumn id="6" name="source_id"/>
    <x:tableColumn id="7" name="importance"/>
    <x:tableColumn id="8" name="confidence_level"/>
    <x:tableColumn id="9" name="analyst_note"/>
  </x:tableColumns>
  <x:tableStyleInfo name="TableStyleMedium2" showRowStripes="1"/>
</x:table>
</file>

<file path=xl/tables/table3.xml><?xml version="1.0" encoding="utf-8"?>
<x:table xmlns:x="http://schemas.openxmlformats.org/spreadsheetml/2006/main" id="3" name="SourcesTable" displayName="SourcesTable" ref="A1:I201" headerRowCount="1">
  <x:autoFilter ref="A1:I201"/>
  <x:tableColumns count="9">
    <x:tableColumn id="1" name="source_id"/>
    <x:tableColumn id="2" name="source_name"/>
    <x:tableColumn id="3" name="source_type"/>
    <x:tableColumn id="4" name="source_url"/>
    <x:tableColumn id="5" name="publisher"/>
    <x:tableColumn id="6" name="accessed_date"/>
    <x:tableColumn id="7" name="publication_date"/>
    <x:tableColumn id="8" name="license_notes"/>
    <x:tableColumn id="9" name="reliability"/>
  </x:tableColumns>
  <x:tableStyleInfo name="TableStyleMedium2" showRowStripes="1"/>
</x:table>
</file>

<file path=xl/tables/table4.xml><?xml version="1.0" encoding="utf-8"?>
<x:table xmlns:x="http://schemas.openxmlformats.org/spreadsheetml/2006/main" id="4" name="ScorecardTable" displayName="ScorecardTable" ref="A1:L101" headerRowCount="1">
  <x:autoFilter ref="A1:L101"/>
  <x:tableColumns count="12">
    <x:tableColumn id="1" name="asset_id"/>
    <x:tableColumn id="2" name="total_score"/>
    <x:tableColumn id="3" name="grid_readiness_score"/>
    <x:tableColumn id="4" name="asset_scale_score"/>
    <x:tableColumn id="5" name="interconnection_maturity_score"/>
    <x:tableColumn id="6" name="ownership_score"/>
    <x:tableColumn id="7" name="financing_signal_score"/>
    <x:tableColumn id="8" name="offtaker_signal_score"/>
    <x:tableColumn id="9" name="site_control_score"/>
    <x:tableColumn id="10" name="local_momentum_score"/>
    <x:tableColumn id="11" name="data_center_proximity_score"/>
    <x:tableColumn id="12" name="score_notes"/>
  </x:tableColumns>
  <x:tableStyleInfo name="TableStyleMedium2" showRowStripes="1"/>
</x:table>
</file>

<file path=xl/tables/table5.xml><?xml version="1.0" encoding="utf-8"?>
<x:table xmlns:x="http://schemas.openxmlformats.org/spreadsheetml/2006/main" id="5" name="NearbyDemandTable" displayName="NearbyDemandTable" ref="A1:J201" headerRowCount="1">
  <x:autoFilter ref="A1:J201"/>
  <x:tableColumns count="10">
    <x:tableColumn id="1" name="demand_id"/>
    <x:tableColumn id="2" name="asset_id"/>
    <x:tableColumn id="3" name="demand_type"/>
    <x:tableColumn id="4" name="name"/>
    <x:tableColumn id="5" name="operator"/>
    <x:tableColumn id="6" name="distance_miles"/>
    <x:tableColumn id="7" name="status"/>
    <x:tableColumn id="8" name="source_id"/>
    <x:tableColumn id="9" name="confidence_level"/>
    <x:tableColumn id="10"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f4c5238ca244851" /></Relationships>
</file>

<file path=xl/worksheets/_rels/sheet4.xml.rels>&#65279;<?xml version="1.0" encoding="utf-8"?><Relationships xmlns="http://schemas.openxmlformats.org/package/2006/relationships"><Relationship Type="http://schemas.openxmlformats.org/officeDocument/2006/relationships/table" Target="/xl/tables/table2.xml" Id="R54d814910893405f" /></Relationships>
</file>

<file path=xl/worksheets/_rels/sheet5.xml.rels>&#65279;<?xml version="1.0" encoding="utf-8"?><Relationships xmlns="http://schemas.openxmlformats.org/package/2006/relationships"><Relationship Type="http://schemas.openxmlformats.org/officeDocument/2006/relationships/table" Target="/xl/tables/table3.xml" Id="R9824098150414500" /></Relationships>
</file>

<file path=xl/worksheets/_rels/sheet6.xml.rels>&#65279;<?xml version="1.0" encoding="utf-8"?><Relationships xmlns="http://schemas.openxmlformats.org/package/2006/relationships"><Relationship Type="http://schemas.openxmlformats.org/officeDocument/2006/relationships/table" Target="/xl/tables/table4.xml" Id="Rb317f37033ab49c9" /></Relationships>
</file>

<file path=xl/worksheets/_rels/sheet7.xml.rels>&#65279;<?xml version="1.0" encoding="utf-8"?><Relationships xmlns="http://schemas.openxmlformats.org/package/2006/relationships"><Relationship Type="http://schemas.openxmlformats.org/officeDocument/2006/relationships/table" Target="/xl/tables/table5.xml" Id="R7f11cfb17612484f" /></Relationships>
</file>

<file path=xl/worksheets/sheet1.xml><?xml version="1.0" encoding="utf-8"?>
<x:worksheet xmlns:x="http://schemas.openxmlformats.org/spreadsheetml/2006/main">
  <x:sheetViews>
    <x:sheetView showGridLines="0" workbookViewId="0"/>
  </x:sheetViews>
  <x:sheetFormatPr defaultRowHeight="15"/>
  <x:cols>
    <x:col min="1" max="1" width="29.290000915527344" hidden="0" customWidth="1"/>
    <x:col min="2" max="2" width="102.13999938964844" hidden="0" customWidth="1"/>
  </x:cols>
  <x:sheetData>
    <x:row r="1" ht="27" customHeight="1">
      <x:c r="A1" s="4" t="str">
        <x:v>Energy Deal Flow Intelligence - Manual ERCOT Prototype</x:v>
      </x:c>
      <x:c r="B1" s="4" t="str">
        <x:v>Energy Deal Flow Intelligence - Manual ERCOT Prototype</x:v>
      </x:c>
      <x:c r="C1" s="4" t="str">
        <x:v>Energy Deal Flow Intelligence - Manual ERCOT Prototype</x:v>
      </x:c>
      <x:c r="D1" s="4" t="str">
        <x:v>Energy Deal Flow Intelligence - Manual ERCOT Prototype</x:v>
      </x:c>
      <x:c r="E1" s="4" t="str">
        <x:v>Energy Deal Flow Intelligence - Manual ERCOT Prototype</x:v>
      </x:c>
      <x:c r="F1" s="4" t="str">
        <x:v>Energy Deal Flow Intelligence - Manual ERCOT Prototype</x:v>
      </x:c>
      <x:c r="G1" s="4" t="str">
        <x:v>Energy Deal Flow Intelligence - Manual ERCOT Prototype</x:v>
      </x:c>
      <x:c r="H1" s="4" t="str">
        <x:v>Energy Deal Flow Intelligence - Manual ERCOT Prototype</x:v>
      </x:c>
    </x:row>
    <x:row r="2" ht="33" customHeight="1">
      <x:c r="A2" s="6" t="str">
        <x:v>Use this workbook to manually curate 20-50 ERCOT energy assets, capture source-backed signals, and test the first Power Opportunity Score before building the full platform.</x:v>
      </x:c>
      <x:c r="B2" s="6" t="str">
        <x:v>Use this workbook to manually curate 20-50 ERCOT energy assets, capture source-backed signals, and test the first Power Opportunity Score before building the full platform.</x:v>
      </x:c>
      <x:c r="C2" s="6" t="str">
        <x:v>Use this workbook to manually curate 20-50 ERCOT energy assets, capture source-backed signals, and test the first Power Opportunity Score before building the full platform.</x:v>
      </x:c>
      <x:c r="D2" s="6" t="str">
        <x:v>Use this workbook to manually curate 20-50 ERCOT energy assets, capture source-backed signals, and test the first Power Opportunity Score before building the full platform.</x:v>
      </x:c>
      <x:c r="E2" s="6" t="str">
        <x:v>Use this workbook to manually curate 20-50 ERCOT energy assets, capture source-backed signals, and test the first Power Opportunity Score before building the full platform.</x:v>
      </x:c>
      <x:c r="F2" s="6" t="str">
        <x:v>Use this workbook to manually curate 20-50 ERCOT energy assets, capture source-backed signals, and test the first Power Opportunity Score before building the full platform.</x:v>
      </x:c>
      <x:c r="G2" s="6" t="str">
        <x:v>Use this workbook to manually curate 20-50 ERCOT energy assets, capture source-backed signals, and test the first Power Opportunity Score before building the full platform.</x:v>
      </x:c>
      <x:c r="H2" s="6" t="str">
        <x:v>Use this workbook to manually curate 20-50 ERCOT energy assets, capture source-backed signals, and test the first Power Opportunity Score before building the full platform.</x:v>
      </x:c>
    </x:row>
    <x:row r="4">
      <x:c r="A4" s="11" t="str">
        <x:v>Prototype objective</x:v>
      </x:c>
      <x:c r="B4" s="12" t="str">
        <x:v>Identify pre-headline infrastructure opportunities from public data, starting with ERCOT / Texas.</x:v>
      </x:c>
    </x:row>
    <x:row r="5">
      <x:c r="A5" s="13" t="str">
        <x:v>Recommended first asset class</x:v>
      </x:c>
      <x:c r="B5" s="14" t="str">
        <x:v>BESS, with solar and gas added where they connect to data center power demand.</x:v>
      </x:c>
    </x:row>
    <x:row r="6">
      <x:c r="A6" s="13" t="str">
        <x:v>Workflow</x:v>
      </x:c>
      <x:c r="B6" s="14" t="str">
        <x:v>1. Add project in Assets. 2. Add source records. 3. Add each signal. 4. Score the asset. 5. Link nearby demand.</x:v>
      </x:c>
    </x:row>
    <x:row r="7">
      <x:c r="A7" s="13" t="str">
        <x:v>Map-first MVP</x:v>
      </x:c>
      <x:c r="B7" s="14" t="str">
        <x:v>Assets supplies the map layer; Signals supplies the timeline; Scorecard supplies ranking; Sources supports auditability.</x:v>
      </x:c>
    </x:row>
    <x:row r="8">
      <x:c r="A8" s="13" t="str">
        <x:v>Required source hygiene</x:v>
      </x:c>
      <x:c r="B8" s="14" t="str">
        <x:v>Every claim should map back to a source_id with source URL, accessed date, and confidence.</x:v>
      </x:c>
    </x:row>
    <x:row r="9">
      <x:c r="A9" s="13" t="str">
        <x:v>Confidence levels</x:v>
      </x:c>
      <x:c r="B9" s="14" t="str">
        <x:v>High = primary source or direct filing; Medium = credible secondary source; Low = inferred or weakly sourced.</x:v>
      </x:c>
    </x:row>
    <x:row r="10">
      <x:c r="A10" s="13" t="str">
        <x:v>Scoring</x:v>
      </x:c>
      <x:c r="B10" s="14" t="str">
        <x:v>The Scorecard tab uses 100 maximum points across grid, scale, maturity, ownership, financing, offtaker, site, local momentum, and demand proximity.</x:v>
      </x:c>
    </x:row>
    <x:row r="11">
      <x:c r="A11" s="13" t="str">
        <x:v>MVP decision gate</x:v>
      </x:c>
      <x:c r="B11" s="14" t="str">
        <x:v>After 20-50 assets, review which fields are consistently available and which create differentiated intelligence.</x:v>
      </x:c>
    </x:row>
    <x:row r="12">
      <x:c r="A12" s="15" t="str">
        <x:v>Next build step</x:v>
      </x:c>
      <x:c r="B12" s="16" t="str">
        <x:v>Use this workbook as the initial database model for the map-first web app.</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6999969482422" hidden="0" customWidth="1"/>
    <x:col min="2" max="2" width="20" hidden="0" customWidth="1"/>
    <x:col min="3" max="3" width="2.7100000381469727" hidden="0" customWidth="1"/>
    <x:col min="4" max="4" width="23.56999969482422" hidden="0" customWidth="1"/>
    <x:col min="5" max="5" width="20" hidden="0" customWidth="1"/>
    <x:col min="6" max="6" width="2.7100000381469727" hidden="0" customWidth="1"/>
    <x:col min="7" max="7" width="23.56999969482422" hidden="0" customWidth="1"/>
    <x:col min="8" max="8" width="20" hidden="0" customWidth="1"/>
  </x:cols>
  <x:sheetData>
    <x:row r="1" ht="27" customHeight="1">
      <x:c r="A1" s="4" t="str">
        <x:v>MVP Research Dashboard</x:v>
      </x:c>
      <x:c r="B1" s="4" t="str">
        <x:v>MVP Research Dashboard</x:v>
      </x:c>
      <x:c r="C1" s="4" t="str">
        <x:v>MVP Research Dashboard</x:v>
      </x:c>
      <x:c r="D1" s="4" t="str">
        <x:v>MVP Research Dashboard</x:v>
      </x:c>
      <x:c r="E1" s="4" t="str">
        <x:v>MVP Research Dashboard</x:v>
      </x:c>
      <x:c r="F1" s="4" t="str">
        <x:v>MVP Research Dashboard</x:v>
      </x:c>
      <x:c r="G1" s="4" t="str">
        <x:v>MVP Research Dashboard</x:v>
      </x:c>
      <x:c r="H1" s="4" t="str">
        <x:v>MVP Research Dashboard</x:v>
      </x:c>
    </x:row>
    <x:row r="2" ht="33" customHeight="1">
      <x:c r="A2" s="6" t="str">
        <x:v>Lightweight summary formulas update as assets and scores are filled in.</x:v>
      </x:c>
      <x:c r="B2" s="6" t="str">
        <x:v>Lightweight summary formulas update as assets and scores are filled in.</x:v>
      </x:c>
      <x:c r="C2" s="6" t="str">
        <x:v>Lightweight summary formulas update as assets and scores are filled in.</x:v>
      </x:c>
      <x:c r="D2" s="6" t="str">
        <x:v>Lightweight summary formulas update as assets and scores are filled in.</x:v>
      </x:c>
      <x:c r="E2" s="6" t="str">
        <x:v>Lightweight summary formulas update as assets and scores are filled in.</x:v>
      </x:c>
      <x:c r="F2" s="6" t="str">
        <x:v>Lightweight summary formulas update as assets and scores are filled in.</x:v>
      </x:c>
      <x:c r="G2" s="6" t="str">
        <x:v>Lightweight summary formulas update as assets and scores are filled in.</x:v>
      </x:c>
      <x:c r="H2" s="6" t="str">
        <x:v>Lightweight summary formulas update as assets and scores are filled in.</x:v>
      </x:c>
    </x:row>
    <x:row r="4" ht="25.5" customHeight="1">
      <x:c r="A4" s="20" t="str">
        <x:v>Metric</x:v>
      </x:c>
      <x:c r="B4" s="20" t="str">
        <x:v>Value</x:v>
      </x:c>
      <x:c r="C4" s="20" t="str"/>
      <x:c r="D4" s="20" t="str">
        <x:v>Top Opportunity</x:v>
      </x:c>
      <x:c r="E4" s="20" t="str">
        <x:v>Value</x:v>
      </x:c>
      <x:c r="F4" s="20" t="str"/>
      <x:c r="G4" s="20" t="str">
        <x:v>Research Health</x:v>
      </x:c>
      <x:c r="H4" s="20" t="str">
        <x:v>Value</x:v>
      </x:c>
    </x:row>
    <x:row r="5">
      <x:c r="A5" s="7" t="str">
        <x:v>Assets entered</x:v>
      </x:c>
      <x:c r="B5" s="21" t="n">
        <x:f>COUNTA(Assets!A2:A101)</x:f>
        <x:v>25</x:v>
      </x:c>
      <x:c r="C5" s="7" t="str"/>
      <x:c r="D5" s="7" t="str">
        <x:v>Highest score</x:v>
      </x:c>
      <x:c r="E5" s="21" t="n">
        <x:f>IFERROR(MAX(Scorecard!B2:B101),"")</x:f>
        <x:v>81</x:v>
      </x:c>
      <x:c r="F5" s="7" t="str"/>
      <x:c r="G5" s="7" t="str">
        <x:v>Sources logged</x:v>
      </x:c>
      <x:c r="H5" s="21" t="n">
        <x:f>COUNTA(Sources!A2:A201)</x:f>
        <x:v>13</x:v>
      </x:c>
    </x:row>
    <x:row r="6">
      <x:c r="A6" s="7" t="str">
        <x:v>BESS assets</x:v>
      </x:c>
      <x:c r="B6" s="21" t="n">
        <x:f>COUNTIF(Assets!C2:C101,"BESS")</x:f>
        <x:v>25</x:v>
      </x:c>
      <x:c r="C6" s="7" t="str"/>
      <x:c r="D6" s="7" t="str">
        <x:v>High confidence assets</x:v>
      </x:c>
      <x:c r="E6" s="21" t="n">
        <x:f>COUNTIF(Assets!Q2:Q101,"High")</x:f>
        <x:v>0</x:v>
      </x:c>
      <x:c r="F6" s="7" t="str"/>
      <x:c r="G6" s="7" t="str">
        <x:v>Signals logged</x:v>
      </x:c>
      <x:c r="H6" s="21" t="n">
        <x:f>COUNTA(Signals!A2:A301)</x:f>
        <x:v>39</x:v>
      </x:c>
    </x:row>
    <x:row r="7">
      <x:c r="A7" s="7" t="str">
        <x:v>Average score</x:v>
      </x:c>
      <x:c r="B7" s="21" t="n">
        <x:f>IFERROR(AVERAGEIF(Scorecard!B2:B101,"&gt;0",Scorecard!B2:B101),"")</x:f>
        <x:v>58.64</x:v>
      </x:c>
      <x:c r="C7" s="7" t="str"/>
      <x:c r="D7" s="7" t="str">
        <x:v>Nearby demand links</x:v>
      </x:c>
      <x:c r="E7" s="21" t="n">
        <x:f>COUNTA('Nearby Demand'!A2:A201)</x:f>
        <x:v>11</x:v>
      </x:c>
      <x:c r="F7" s="7" t="str"/>
      <x:c r="G7" s="7" t="str">
        <x:v>Missing coordinates</x:v>
      </x:c>
      <x:c r="H7" s="21" t="n">
        <x:f>SUMPRODUCT((Assets!A2:A101&lt;&gt;"")*((Assets!J2:J101="")+(Assets!K2:K101="")&gt;0))</x:f>
        <x:v>0</x:v>
      </x:c>
    </x:row>
    <x:row r="10">
      <x:c r="A10" s="3" t="str">
        <x:v>Research Sprint Focus</x:v>
      </x:c>
      <x:c r="B10" s="3" t="str">
        <x:v>Research Sprint Focus</x:v>
      </x:c>
      <x:c r="C10" s="3" t="str">
        <x:v>Research Sprint Focus</x:v>
      </x:c>
      <x:c r="D10" s="3" t="str">
        <x:v>Research Sprint Focus</x:v>
      </x:c>
      <x:c r="E10" s="3" t="str">
        <x:v>Research Sprint Focus</x:v>
      </x:c>
      <x:c r="F10" s="3" t="str">
        <x:v>Research Sprint Focus</x:v>
      </x:c>
      <x:c r="G10" s="3" t="str">
        <x:v>Research Sprint Focus</x:v>
      </x:c>
      <x:c r="H10" s="3" t="str">
        <x:v>Research Sprint Focus</x:v>
      </x:c>
    </x:row>
    <x:row r="11">
      <x:c r="A11" s="22" t="str">
        <x:v>1</x:v>
      </x:c>
      <x:c r="B11" s="22" t="str">
        <x:v>Fill 20-50 ERCOT BESS projects from interconnection queue and public sources.</x:v>
      </x:c>
      <x:c r="C11" s="22" t="str"/>
      <x:c r="D11" s="22" t="str"/>
      <x:c r="E11" s="22" t="str"/>
      <x:c r="F11" s="22" t="str"/>
      <x:c r="G11" s="22" t="str"/>
      <x:c r="H11" s="22" t="str"/>
    </x:row>
    <x:row r="12">
      <x:c r="A12" s="22" t="str">
        <x:v>2</x:v>
      </x:c>
      <x:c r="B12" s="22" t="str">
        <x:v>Prioritize projects near DFW, Austin/San Antonio, Houston, and major transmission corridors.</x:v>
      </x:c>
      <x:c r="C12" s="22" t="str"/>
      <x:c r="D12" s="22" t="str"/>
      <x:c r="E12" s="22" t="str"/>
      <x:c r="F12" s="22" t="str"/>
      <x:c r="G12" s="22" t="str"/>
      <x:c r="H12" s="22" t="str"/>
    </x:row>
    <x:row r="13">
      <x:c r="A13" s="22" t="str">
        <x:v>3</x:v>
      </x:c>
      <x:c r="B13" s="22" t="str">
        <x:v>Record one source per claim. Do not let unsourced analyst notes become facts.</x:v>
      </x:c>
      <x:c r="C13" s="22" t="str"/>
      <x:c r="D13" s="22" t="str"/>
      <x:c r="E13" s="22" t="str"/>
      <x:c r="F13" s="22" t="str"/>
      <x:c r="G13" s="22" t="str"/>
      <x:c r="H13" s="22" t="str"/>
    </x:row>
    <x:row r="14">
      <x:c r="A14" s="22" t="str">
        <x:v>4</x:v>
      </x:c>
      <x:c r="B14" s="22" t="str">
        <x:v>Use Low confidence for inferred POI, private offtake, or indirect financing evidence.</x:v>
      </x:c>
      <x:c r="C14" s="22" t="str"/>
      <x:c r="D14" s="22" t="str"/>
      <x:c r="E14" s="22" t="str"/>
      <x:c r="F14" s="22" t="str"/>
      <x:c r="G14" s="22" t="str"/>
      <x:c r="H14" s="22" t="str"/>
    </x:row>
    <x:row r="15">
      <x:c r="A15" s="22" t="str">
        <x:v>5</x:v>
      </x:c>
      <x:c r="B15" s="22" t="str">
        <x:v>After the sprint, convert stable fields into the MVP database schema.</x:v>
      </x:c>
      <x:c r="C15" s="22" t="str"/>
      <x:c r="D15" s="22" t="str"/>
      <x:c r="E15" s="22" t="str"/>
      <x:c r="F15" s="22" t="str"/>
      <x:c r="G15" s="22" t="str"/>
      <x:c r="H15" s="22" t="str"/>
    </x:row>
  </x:sheetData>
  <x:mergeCells>
    <x:mergeCell ref="A1:H1"/>
    <x:mergeCell ref="A2:H2"/>
    <x:mergeCell ref="A10:H1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860000610351562" hidden="0" customWidth="1"/>
    <x:col min="2" max="2" width="30.709999084472656" hidden="0" customWidth="1"/>
    <x:col min="3" max="3" width="14.289999961853027" hidden="0" customWidth="1"/>
    <x:col min="4" max="4" width="20.709999084472656" hidden="0" customWidth="1"/>
    <x:col min="5" max="5" width="25" hidden="0" customWidth="1"/>
    <x:col min="6" max="6" width="26.43000030517578" hidden="0" customWidth="1"/>
    <x:col min="7" max="7" width="25" hidden="0" customWidth="1"/>
    <x:col min="8" max="8" width="16.43000030517578" hidden="0" customWidth="1"/>
    <x:col min="9" max="9" width="9.289999961853027" hidden="0" customWidth="1"/>
    <x:col min="10" max="10" width="14.289999961853027" hidden="0" customWidth="1"/>
    <x:col min="11" max="11" width="14.289999961853027" hidden="0" customWidth="1"/>
    <x:col min="12" max="12" width="15" hidden="0" customWidth="1"/>
    <x:col min="13" max="13" width="15" hidden="0" customWidth="1"/>
    <x:col min="14" max="14" width="30.709999084472656" hidden="0" customWidth="1"/>
    <x:col min="15" max="15" width="13.569999694824219" hidden="0" customWidth="1"/>
    <x:col min="16" max="16" width="17.139999389648438" hidden="0" customWidth="1"/>
    <x:col min="17" max="17" width="16.43000030517578" hidden="0" customWidth="1"/>
    <x:col min="18" max="18" width="22.860000610351562" hidden="0" customWidth="1"/>
    <x:col min="19" max="19" width="16.43000030517578" hidden="0" customWidth="1"/>
    <x:col min="20" max="20" width="25.709999084472656" hidden="0" customWidth="1"/>
    <x:col min="21" max="21" width="24.290000915527344" hidden="0" customWidth="1"/>
    <x:col min="22" max="22" width="50.709999084472656" hidden="0" customWidth="1"/>
  </x:cols>
  <x:sheetData>
    <x:row r="1" ht="25.5" customHeight="1">
      <x:c r="A1" s="27" t="str">
        <x:v>asset_id</x:v>
      </x:c>
      <x:c r="B1" s="27" t="str">
        <x:v>asset_name</x:v>
      </x:c>
      <x:c r="C1" s="27" t="str">
        <x:v>asset_type</x:v>
      </x:c>
      <x:c r="D1" s="27" t="str">
        <x:v>status</x:v>
      </x:c>
      <x:c r="E1" s="27" t="str">
        <x:v>developer</x:v>
      </x:c>
      <x:c r="F1" s="27" t="str">
        <x:v>owner</x:v>
      </x:c>
      <x:c r="G1" s="27" t="str">
        <x:v>parent_company</x:v>
      </x:c>
      <x:c r="H1" s="27" t="str">
        <x:v>county</x:v>
      </x:c>
      <x:c r="I1" s="27" t="str">
        <x:v>state</x:v>
      </x:c>
      <x:c r="J1" s="27" t="str">
        <x:v>latitude</x:v>
      </x:c>
      <x:c r="K1" s="27" t="str">
        <x:v>longitude</x:v>
      </x:c>
      <x:c r="L1" s="27" t="str">
        <x:v>capacity_mw</x:v>
      </x:c>
      <x:c r="M1" s="27" t="str">
        <x:v>energy_mwh</x:v>
      </x:c>
      <x:c r="N1" s="27" t="str">
        <x:v>poi_name</x:v>
      </x:c>
      <x:c r="O1" s="27" t="str">
        <x:v>voltage_kv</x:v>
      </x:c>
      <x:c r="P1" s="27" t="str">
        <x:v>ercot_queue_id</x:v>
      </x:c>
      <x:c r="Q1" s="27" t="str">
        <x:v>confidence_level</x:v>
      </x:c>
      <x:c r="R1" s="27" t="str">
        <x:v>public_or_private_grid</x:v>
      </x:c>
      <x:c r="S1" s="27" t="str">
        <x:v>queue_date</x:v>
      </x:c>
      <x:c r="T1" s="27" t="str">
        <x:v>interconnection_agreement_date</x:v>
      </x:c>
      <x:c r="U1" s="27" t="str">
        <x:v>commercial_operation_date</x:v>
      </x:c>
      <x:c r="V1" s="27" t="str">
        <x:v>notes</x:v>
      </x:c>
    </x:row>
    <x:row r="2">
      <x:c r="A2" s="28" t="str">
        <x:v>ercot_bess_001</x:v>
      </x:c>
      <x:c r="B2" s="28" t="str">
        <x:v>Zeus Armstrong BESS</x:v>
      </x:c>
      <x:c r="C2" s="28" t="str">
        <x:v>BESS</x:v>
      </x:c>
      <x:c r="D2" s="28" t="str">
        <x:v>Queue</x:v>
      </x:c>
      <x:c r="E2" s="28" t="str">
        <x:v>Armstrong BESS, LLC</x:v>
      </x:c>
      <x:c r="F2" s="28" t="str">
        <x:v>Unknown</x:v>
      </x:c>
      <x:c r="G2" s="28" t="str">
        <x:v>Armstrong BESS, LLC</x:v>
      </x:c>
      <x:c r="H2" s="28" t="str">
        <x:v>Armstrong</x:v>
      </x:c>
      <x:c r="I2" s="29" t="str">
        <x:v>TX</x:v>
      </x:c>
      <x:c r="J2" s="29" t="n">
        <x:v>34.97</x:v>
      </x:c>
      <x:c r="K2" s="28" t="n">
        <x:v>-101.36</x:v>
      </x:c>
      <x:c r="L2" s="30" t="n">
        <x:v>1043.08</x:v>
      </x:c>
      <x:c r="M2" s="30" t="str"/>
      <x:c r="N2" s="28" t="str">
        <x:v>Tap 345KV 23900 ALIBATES - 23914 TULECNYN</x:v>
      </x:c>
      <x:c r="O2" s="28" t="n">
        <x:v>345</x:v>
      </x:c>
      <x:c r="P2" s="28" t="str">
        <x:v>25INR0587</x:v>
      </x:c>
      <x:c r="Q2" s="28" t="str">
        <x:v>Medium</x:v>
      </x:c>
      <x:c r="R2" s="28" t="str">
        <x:v>Public Grid</x:v>
      </x:c>
      <x:c r="S2" s="31" t="n">
        <x:v>45373</x:v>
      </x:c>
      <x:c r="T2" s="31" t="str"/>
      <x:c r="U2" s="31" t="n">
        <x:v>46860</x:v>
      </x:c>
      <x:c r="V2" s="28" t="str">
        <x:v>Real ERCOT GIS project row. Latitude/longitude are county-centroid placeholders for prototype map testing, not project-site coordinates.</x:v>
      </x:c>
    </x:row>
    <x:row r="3">
      <x:c r="A3" s="28" t="str">
        <x:v>ercot_bess_002</x:v>
      </x:c>
      <x:c r="B3" s="28" t="str">
        <x:v>Zeus Scurry BESS</x:v>
      </x:c>
      <x:c r="C3" s="28" t="str">
        <x:v>BESS</x:v>
      </x:c>
      <x:c r="D3" s="28" t="str">
        <x:v>Queue</x:v>
      </x:c>
      <x:c r="E3" s="28" t="str">
        <x:v>Zeus Scurry BESS</x:v>
      </x:c>
      <x:c r="F3" s="28" t="str">
        <x:v>Unknown</x:v>
      </x:c>
      <x:c r="G3" s="28" t="str">
        <x:v>Zeus Scurry BESS</x:v>
      </x:c>
      <x:c r="H3" s="28" t="str">
        <x:v>Scurry</x:v>
      </x:c>
      <x:c r="I3" s="29" t="str">
        <x:v>TX</x:v>
      </x:c>
      <x:c r="J3" s="29" t="n">
        <x:v>32.74</x:v>
      </x:c>
      <x:c r="K3" s="28" t="n">
        <x:v>-100.92</x:v>
      </x:c>
      <x:c r="L3" s="30" t="n">
        <x:v>1043.07</x:v>
      </x:c>
      <x:c r="M3" s="30" t="str"/>
      <x:c r="N3" s="28" t="str">
        <x:v>MHOS 345 kV Substation (#59911)</x:v>
      </x:c>
      <x:c r="O3" s="28" t="n">
        <x:v>345</x:v>
      </x:c>
      <x:c r="P3" s="28" t="str">
        <x:v>27INR0535</x:v>
      </x:c>
      <x:c r="Q3" s="28" t="str">
        <x:v>Medium</x:v>
      </x:c>
      <x:c r="R3" s="28" t="str">
        <x:v>Public Grid</x:v>
      </x:c>
      <x:c r="S3" s="31" t="n">
        <x:v>45813</x:v>
      </x:c>
      <x:c r="T3" s="31" t="str"/>
      <x:c r="U3" s="31" t="n">
        <x:v>47027</x:v>
      </x:c>
      <x:c r="V3" s="28" t="str">
        <x:v>Real ERCOT GIS project row. Latitude/longitude are county-centroid placeholders for prototype map testing, not project-site coordinates.</x:v>
      </x:c>
    </x:row>
    <x:row r="4">
      <x:c r="A4" s="28" t="str">
        <x:v>ercot_bess_003</x:v>
      </x:c>
      <x:c r="B4" s="28" t="str">
        <x:v>Zeus Mitchell BESS II</x:v>
      </x:c>
      <x:c r="C4" s="28" t="str">
        <x:v>BESS</x:v>
      </x:c>
      <x:c r="D4" s="28" t="str">
        <x:v>Queue</x:v>
      </x:c>
      <x:c r="E4" s="28" t="str">
        <x:v>Zeus Mitchell BESS II, LLC</x:v>
      </x:c>
      <x:c r="F4" s="28" t="str">
        <x:v>Unknown</x:v>
      </x:c>
      <x:c r="G4" s="28" t="str">
        <x:v>Zeus Mitchell BESS II, LLC</x:v>
      </x:c>
      <x:c r="H4" s="28" t="str">
        <x:v>Mitchell</x:v>
      </x:c>
      <x:c r="I4" s="29" t="str">
        <x:v>TX</x:v>
      </x:c>
      <x:c r="J4" s="29" t="n">
        <x:v>32.31</x:v>
      </x:c>
      <x:c r="K4" s="28" t="n">
        <x:v>-100.92</x:v>
      </x:c>
      <x:c r="L4" s="30" t="n">
        <x:v>1042.94</x:v>
      </x:c>
      <x:c r="M4" s="30" t="str"/>
      <x:c r="N4" s="28" t="str">
        <x:v>Tap 345 kV 10049 Ranger Camp - 10057 Prong Moss CKT #01 and #02</x:v>
      </x:c>
      <x:c r="O4" s="28" t="n">
        <x:v>345</x:v>
      </x:c>
      <x:c r="P4" s="28" t="str">
        <x:v>26INR0686</x:v>
      </x:c>
      <x:c r="Q4" s="28" t="str">
        <x:v>Medium</x:v>
      </x:c>
      <x:c r="R4" s="28" t="str">
        <x:v>Public Grid</x:v>
      </x:c>
      <x:c r="S4" s="31" t="n">
        <x:v>45827</x:v>
      </x:c>
      <x:c r="T4" s="31" t="str"/>
      <x:c r="U4" s="31" t="n">
        <x:v>46508</x:v>
      </x:c>
      <x:c r="V4" s="28" t="str">
        <x:v>Real ERCOT GIS project row. Latitude/longitude are county-centroid placeholders for prototype map testing, not project-site coordinates.</x:v>
      </x:c>
    </x:row>
    <x:row r="5">
      <x:c r="A5" s="28" t="str">
        <x:v>ercot_bess_004</x:v>
      </x:c>
      <x:c r="B5" s="28" t="str">
        <x:v>Zeus Mitchell BESS</x:v>
      </x:c>
      <x:c r="C5" s="28" t="str">
        <x:v>BESS</x:v>
      </x:c>
      <x:c r="D5" s="28" t="str">
        <x:v>Queue</x:v>
      </x:c>
      <x:c r="E5" s="28" t="str">
        <x:v>Mitchell BESS</x:v>
      </x:c>
      <x:c r="F5" s="28" t="str">
        <x:v>Unknown</x:v>
      </x:c>
      <x:c r="G5" s="28" t="str">
        <x:v>Mitchell BESS</x:v>
      </x:c>
      <x:c r="H5" s="28" t="str">
        <x:v>Mitchell</x:v>
      </x:c>
      <x:c r="I5" s="29" t="str">
        <x:v>TX</x:v>
      </x:c>
      <x:c r="J5" s="29" t="n">
        <x:v>32.31</x:v>
      </x:c>
      <x:c r="K5" s="28" t="n">
        <x:v>-100.92</x:v>
      </x:c>
      <x:c r="L5" s="30" t="n">
        <x:v>1042.94</x:v>
      </x:c>
      <x:c r="M5" s="30" t="str"/>
      <x:c r="N5" s="28" t="str">
        <x:v>Tap 345 kV 10049 Ranger Camp - 10057 Prong Moss CKT #01 and #02</x:v>
      </x:c>
      <x:c r="O5" s="28" t="n">
        <x:v>345</x:v>
      </x:c>
      <x:c r="P5" s="28" t="str">
        <x:v>25INR0589</x:v>
      </x:c>
      <x:c r="Q5" s="28" t="str">
        <x:v>Medium</x:v>
      </x:c>
      <x:c r="R5" s="28" t="str">
        <x:v>Public Grid</x:v>
      </x:c>
      <x:c r="S5" s="31" t="n">
        <x:v>45432</x:v>
      </x:c>
      <x:c r="T5" s="31" t="str"/>
      <x:c r="U5" s="31" t="n">
        <x:v>47225</x:v>
      </x:c>
      <x:c r="V5" s="28" t="str">
        <x:v>Real ERCOT GIS project row. Latitude/longitude are county-centroid placeholders for prototype map testing, not project-site coordinates.</x:v>
      </x:c>
    </x:row>
    <x:row r="6">
      <x:c r="A6" s="28" t="str">
        <x:v>ercot_bess_005</x:v>
      </x:c>
      <x:c r="B6" s="28" t="str">
        <x:v>Kickstart Energy Storage VI</x:v>
      </x:c>
      <x:c r="C6" s="28" t="str">
        <x:v>BESS</x:v>
      </x:c>
      <x:c r="D6" s="28" t="str">
        <x:v>Queue</x:v>
      </x:c>
      <x:c r="E6" s="28" t="str">
        <x:v>Kickstart Infrastructure LLC</x:v>
      </x:c>
      <x:c r="F6" s="28" t="str">
        <x:v>Unknown</x:v>
      </x:c>
      <x:c r="G6" s="28" t="str">
        <x:v>Kickstart Infrastructure LLC</x:v>
      </x:c>
      <x:c r="H6" s="28" t="str">
        <x:v>Ellis</x:v>
      </x:c>
      <x:c r="I6" s="29" t="str">
        <x:v>TX</x:v>
      </x:c>
      <x:c r="J6" s="29" t="n">
        <x:v>32.35</x:v>
      </x:c>
      <x:c r="K6" s="28" t="n">
        <x:v>-96.79</x:v>
      </x:c>
      <x:c r="L6" s="30" t="n">
        <x:v>1026.2</x:v>
      </x:c>
      <x:c r="M6" s="30" t="str"/>
      <x:c r="N6" s="28" t="str">
        <x:v>345 KV Venus 1907 to Navarro 68091</x:v>
      </x:c>
      <x:c r="O6" s="28" t="n">
        <x:v>345</x:v>
      </x:c>
      <x:c r="P6" s="28" t="str">
        <x:v>29INR0218</x:v>
      </x:c>
      <x:c r="Q6" s="28" t="str">
        <x:v>Medium</x:v>
      </x:c>
      <x:c r="R6" s="28" t="str">
        <x:v>Public Grid</x:v>
      </x:c>
      <x:c r="S6" s="31" t="n">
        <x:v>46008</x:v>
      </x:c>
      <x:c r="T6" s="31" t="str"/>
      <x:c r="U6" s="31" t="n">
        <x:v>47483</x:v>
      </x:c>
      <x:c r="V6" s="28" t="str">
        <x:v>Real ERCOT GIS project row. Latitude/longitude are county-centroid placeholders for prototype map testing, not project-site coordinates.</x:v>
      </x:c>
    </x:row>
    <x:row r="7">
      <x:c r="A7" s="28" t="str">
        <x:v>ercot_bess_006</x:v>
      </x:c>
      <x:c r="B7" s="28" t="str">
        <x:v>Kickstart Energy Storage V</x:v>
      </x:c>
      <x:c r="C7" s="28" t="str">
        <x:v>BESS</x:v>
      </x:c>
      <x:c r="D7" s="28" t="str">
        <x:v>Queue</x:v>
      </x:c>
      <x:c r="E7" s="28" t="str">
        <x:v>Kickstart Infrastructure LLC</x:v>
      </x:c>
      <x:c r="F7" s="28" t="str">
        <x:v>Unknown</x:v>
      </x:c>
      <x:c r="G7" s="28" t="str">
        <x:v>Kickstart Infrastructure LLC</x:v>
      </x:c>
      <x:c r="H7" s="28" t="str">
        <x:v>Ellis</x:v>
      </x:c>
      <x:c r="I7" s="29" t="str">
        <x:v>TX</x:v>
      </x:c>
      <x:c r="J7" s="29" t="n">
        <x:v>32.35</x:v>
      </x:c>
      <x:c r="K7" s="28" t="n">
        <x:v>-96.79</x:v>
      </x:c>
      <x:c r="L7" s="30" t="n">
        <x:v>999</x:v>
      </x:c>
      <x:c r="M7" s="30" t="str"/>
      <x:c r="N7" s="28" t="str">
        <x:v>345 KV Venus 1906 to Fort Smith 3389</x:v>
      </x:c>
      <x:c r="O7" s="28" t="n">
        <x:v>345</x:v>
      </x:c>
      <x:c r="P7" s="28" t="str">
        <x:v>29INR0217</x:v>
      </x:c>
      <x:c r="Q7" s="28" t="str">
        <x:v>Medium</x:v>
      </x:c>
      <x:c r="R7" s="28" t="str">
        <x:v>Public Grid</x:v>
      </x:c>
      <x:c r="S7" s="31" t="n">
        <x:v>45985</x:v>
      </x:c>
      <x:c r="T7" s="31" t="str"/>
      <x:c r="U7" s="31" t="n">
        <x:v>47483</x:v>
      </x:c>
      <x:c r="V7" s="28" t="str">
        <x:v>Real ERCOT GIS project row. Latitude/longitude are county-centroid placeholders for prototype map testing, not project-site coordinates.</x:v>
      </x:c>
    </x:row>
    <x:row r="8">
      <x:c r="A8" s="28" t="str">
        <x:v>ercot_bess_007</x:v>
      </x:c>
      <x:c r="B8" s="28" t="str">
        <x:v>Nabla Energy Storage I</x:v>
      </x:c>
      <x:c r="C8" s="28" t="str">
        <x:v>BESS</x:v>
      </x:c>
      <x:c r="D8" s="28" t="str">
        <x:v>Queue</x:v>
      </x:c>
      <x:c r="E8" s="28" t="str">
        <x:v>Nabla Park LLC</x:v>
      </x:c>
      <x:c r="F8" s="28" t="str">
        <x:v>Unknown</x:v>
      </x:c>
      <x:c r="G8" s="28" t="str">
        <x:v>Nabla Park LLC</x:v>
      </x:c>
      <x:c r="H8" s="28" t="str">
        <x:v>Parker</x:v>
      </x:c>
      <x:c r="I8" s="29" t="str">
        <x:v>TX</x:v>
      </x:c>
      <x:c r="J8" s="29" t="n">
        <x:v>32.78</x:v>
      </x:c>
      <x:c r="K8" s="28" t="n">
        <x:v>-97.8</x:v>
      </x:c>
      <x:c r="L8" s="30" t="n">
        <x:v>750</x:v>
      </x:c>
      <x:c r="M8" s="30" t="str"/>
      <x:c r="N8" s="28" t="str">
        <x:v>Double Tap 345kV Parker (1436) - Benbrook (1873 &amp; 1869) DCKT</x:v>
      </x:c>
      <x:c r="O8" s="28" t="n">
        <x:v>345</x:v>
      </x:c>
      <x:c r="P8" s="28" t="str">
        <x:v>27INR0571</x:v>
      </x:c>
      <x:c r="Q8" s="28" t="str">
        <x:v>Medium</x:v>
      </x:c>
      <x:c r="R8" s="28" t="str">
        <x:v>Public Grid</x:v>
      </x:c>
      <x:c r="S8" s="31" t="n">
        <x:v>45966</x:v>
      </x:c>
      <x:c r="T8" s="31" t="str"/>
      <x:c r="U8" s="31" t="n">
        <x:v>47378</x:v>
      </x:c>
      <x:c r="V8" s="28" t="str">
        <x:v>Real ERCOT GIS project row. Latitude/longitude are county-centroid placeholders for prototype map testing, not project-site coordinates.</x:v>
      </x:c>
    </x:row>
    <x:row r="9">
      <x:c r="A9" s="28" t="str">
        <x:v>ercot_bess_008</x:v>
      </x:c>
      <x:c r="B9" s="28" t="str">
        <x:v>Nabla Energy Storage II</x:v>
      </x:c>
      <x:c r="C9" s="28" t="str">
        <x:v>BESS</x:v>
      </x:c>
      <x:c r="D9" s="28" t="str">
        <x:v>Queue</x:v>
      </x:c>
      <x:c r="E9" s="28" t="str">
        <x:v>Nabla Park LLC</x:v>
      </x:c>
      <x:c r="F9" s="28" t="str">
        <x:v>Unknown</x:v>
      </x:c>
      <x:c r="G9" s="28" t="str">
        <x:v>Nabla Park LLC</x:v>
      </x:c>
      <x:c r="H9" s="28" t="str">
        <x:v>Parker</x:v>
      </x:c>
      <x:c r="I9" s="29" t="str">
        <x:v>TX</x:v>
      </x:c>
      <x:c r="J9" s="29" t="n">
        <x:v>32.78</x:v>
      </x:c>
      <x:c r="K9" s="28" t="n">
        <x:v>-97.8</x:v>
      </x:c>
      <x:c r="L9" s="30" t="n">
        <x:v>750</x:v>
      </x:c>
      <x:c r="M9" s="30" t="str"/>
      <x:c r="N9" s="28" t="str">
        <x:v>Double Tap 345kV Parker (1436) - Benbrook (1873 &amp; 1869) DCKT</x:v>
      </x:c>
      <x:c r="O9" s="28" t="n">
        <x:v>345</x:v>
      </x:c>
      <x:c r="P9" s="28" t="str">
        <x:v>28INR0466</x:v>
      </x:c>
      <x:c r="Q9" s="28" t="str">
        <x:v>Medium</x:v>
      </x:c>
      <x:c r="R9" s="28" t="str">
        <x:v>Public Grid</x:v>
      </x:c>
      <x:c r="S9" s="31" t="n">
        <x:v>45966</x:v>
      </x:c>
      <x:c r="T9" s="31" t="str"/>
      <x:c r="U9" s="31" t="n">
        <x:v>47378</x:v>
      </x:c>
      <x:c r="V9" s="28" t="str">
        <x:v>Real ERCOT GIS project row. Latitude/longitude are county-centroid placeholders for prototype map testing, not project-site coordinates.</x:v>
      </x:c>
    </x:row>
    <x:row r="10">
      <x:c r="A10" s="28" t="str">
        <x:v>ercot_bess_009</x:v>
      </x:c>
      <x:c r="B10" s="28" t="str">
        <x:v>Howard Road BESS</x:v>
      </x:c>
      <x:c r="C10" s="28" t="str">
        <x:v>BESS</x:v>
      </x:c>
      <x:c r="D10" s="28" t="str">
        <x:v>Queue</x:v>
      </x:c>
      <x:c r="E10" s="28" t="str">
        <x:v>Project Fast Flow LLC</x:v>
      </x:c>
      <x:c r="F10" s="28" t="str">
        <x:v>Unknown</x:v>
      </x:c>
      <x:c r="G10" s="28" t="str">
        <x:v>Project Fast Flow LLC</x:v>
      </x:c>
      <x:c r="H10" s="28" t="str">
        <x:v>Bexar</x:v>
      </x:c>
      <x:c r="I10" s="29" t="str">
        <x:v>TX</x:v>
      </x:c>
      <x:c r="J10" s="29" t="n">
        <x:v>29.45</x:v>
      </x:c>
      <x:c r="K10" s="28" t="n">
        <x:v>-98.52</x:v>
      </x:c>
      <x:c r="L10" s="30" t="n">
        <x:v>617.63</x:v>
      </x:c>
      <x:c r="M10" s="30" t="str"/>
      <x:c r="N10" s="28" t="str">
        <x:v>BUS#5231 HOWARD RD 345 kV SUBSTATION</x:v>
      </x:c>
      <x:c r="O10" s="28" t="n">
        <x:v>345</x:v>
      </x:c>
      <x:c r="P10" s="28" t="str">
        <x:v>29INR0173</x:v>
      </x:c>
      <x:c r="Q10" s="28" t="str">
        <x:v>Medium</x:v>
      </x:c>
      <x:c r="R10" s="28" t="str">
        <x:v>Public Grid</x:v>
      </x:c>
      <x:c r="S10" s="31" t="n">
        <x:v>45867</x:v>
      </x:c>
      <x:c r="T10" s="31" t="str"/>
      <x:c r="U10" s="31" t="n">
        <x:v>46844</x:v>
      </x:c>
      <x:c r="V10" s="28" t="str">
        <x:v>Real ERCOT GIS project row. Latitude/longitude are county-centroid placeholders for prototype map testing, not project-site coordinates.</x:v>
      </x:c>
    </x:row>
    <x:row r="11">
      <x:c r="A11" s="28" t="str">
        <x:v>ercot_bess_010</x:v>
      </x:c>
      <x:c r="B11" s="28" t="str">
        <x:v>Comanche BESS</x:v>
      </x:c>
      <x:c r="C11" s="28" t="str">
        <x:v>BESS</x:v>
      </x:c>
      <x:c r="D11" s="28" t="str">
        <x:v>Queue</x:v>
      </x:c>
      <x:c r="E11" s="28" t="str">
        <x:v>ENERGOS BESS</x:v>
      </x:c>
      <x:c r="F11" s="28" t="str">
        <x:v>Unknown</x:v>
      </x:c>
      <x:c r="G11" s="28" t="str">
        <x:v>ENERGOS BESS</x:v>
      </x:c>
      <x:c r="H11" s="28" t="str">
        <x:v>Comanche</x:v>
      </x:c>
      <x:c r="I11" s="29" t="str">
        <x:v>TX</x:v>
      </x:c>
      <x:c r="J11" s="29" t="n">
        <x:v>31.95</x:v>
      </x:c>
      <x:c r="K11" s="28" t="n">
        <x:v>-98.56</x:v>
      </x:c>
      <x:c r="L11" s="30" t="n">
        <x:v>614.4</x:v>
      </x:c>
      <x:c r="M11" s="30" t="str"/>
      <x:c r="N11" s="28" t="str">
        <x:v>#1440 Comanche Switching Station 345kV</x:v>
      </x:c>
      <x:c r="O11" s="28" t="n">
        <x:v>345</x:v>
      </x:c>
      <x:c r="P11" s="28" t="str">
        <x:v>27INR0365</x:v>
      </x:c>
      <x:c r="Q11" s="28" t="str">
        <x:v>Medium</x:v>
      </x:c>
      <x:c r="R11" s="28" t="str">
        <x:v>Public Grid</x:v>
      </x:c>
      <x:c r="S11" s="31" t="n">
        <x:v>45632</x:v>
      </x:c>
      <x:c r="T11" s="31" t="str"/>
      <x:c r="U11" s="31" t="n">
        <x:v>47037</x:v>
      </x:c>
      <x:c r="V11" s="28" t="str">
        <x:v>Real ERCOT GIS project row. Latitude/longitude are county-centroid placeholders for prototype map testing, not project-site coordinates.</x:v>
      </x:c>
    </x:row>
    <x:row r="12">
      <x:c r="A12" s="28" t="str">
        <x:v>ercot_bess_011</x:v>
      </x:c>
      <x:c r="B12" s="28" t="str">
        <x:v>Symphony BESS</x:v>
      </x:c>
      <x:c r="C12" s="28" t="str">
        <x:v>BESS</x:v>
      </x:c>
      <x:c r="D12" s="28" t="str">
        <x:v>Queue</x:v>
      </x:c>
      <x:c r="E12" s="28" t="str">
        <x:v>Symphony BESS, LLC</x:v>
      </x:c>
      <x:c r="F12" s="28" t="str">
        <x:v>Unknown</x:v>
      </x:c>
      <x:c r="G12" s="28" t="str">
        <x:v>Symphony BESS, LLC</x:v>
      </x:c>
      <x:c r="H12" s="28" t="str">
        <x:v>Austin</x:v>
      </x:c>
      <x:c r="I12" s="29" t="str">
        <x:v>TX</x:v>
      </x:c>
      <x:c r="J12" s="29" t="n">
        <x:v>29.89</x:v>
      </x:c>
      <x:c r="K12" s="28" t="n">
        <x:v>-96.28</x:v>
      </x:c>
      <x:c r="L12" s="30" t="n">
        <x:v>612</x:v>
      </x:c>
      <x:c r="M12" s="30" t="str"/>
      <x:c r="N12" s="28" t="str">
        <x:v>46220 PETERS</x:v>
      </x:c>
      <x:c r="O12" s="28" t="str"/>
      <x:c r="P12" s="28" t="str">
        <x:v>26INR0466</x:v>
      </x:c>
      <x:c r="Q12" s="28" t="str">
        <x:v>Medium</x:v>
      </x:c>
      <x:c r="R12" s="28" t="str">
        <x:v>Public Grid</x:v>
      </x:c>
      <x:c r="S12" s="31" t="n">
        <x:v>45702</x:v>
      </x:c>
      <x:c r="T12" s="31" t="str"/>
      <x:c r="U12" s="31" t="n">
        <x:v>46935</x:v>
      </x:c>
      <x:c r="V12" s="28" t="str">
        <x:v>Real ERCOT GIS project row. Latitude/longitude are county-centroid placeholders for prototype map testing, not project-site coordinates.</x:v>
      </x:c>
    </x:row>
    <x:row r="13">
      <x:c r="A13" s="28" t="str">
        <x:v>ercot_bess_012</x:v>
      </x:c>
      <x:c r="B13" s="28" t="str">
        <x:v>Lavita BESS</x:v>
      </x:c>
      <x:c r="C13" s="28" t="str">
        <x:v>BESS</x:v>
      </x:c>
      <x:c r="D13" s="28" t="str">
        <x:v>Queue</x:v>
      </x:c>
      <x:c r="E13" s="28" t="str">
        <x:v>Lavita BESS, LLC</x:v>
      </x:c>
      <x:c r="F13" s="28" t="str">
        <x:v>Unknown</x:v>
      </x:c>
      <x:c r="G13" s="28" t="str">
        <x:v>Lavita BESS, LLC</x:v>
      </x:c>
      <x:c r="H13" s="28" t="str">
        <x:v>Bell</x:v>
      </x:c>
      <x:c r="I13" s="29" t="str">
        <x:v>TX</x:v>
      </x:c>
      <x:c r="J13" s="29" t="n">
        <x:v>31.04</x:v>
      </x:c>
      <x:c r="K13" s="28" t="n">
        <x:v>-97.48</x:v>
      </x:c>
      <x:c r="L13" s="30" t="n">
        <x:v>606</x:v>
      </x:c>
      <x:c r="M13" s="30" t="str"/>
      <x:c r="N13" s="28" t="str">
        <x:v>Tap 345kV Temple Pecan Creek (3412) - Temple Switch (3414) 345kV ckt 2</x:v>
      </x:c>
      <x:c r="O13" s="28" t="n">
        <x:v>345</x:v>
      </x:c>
      <x:c r="P13" s="28" t="str">
        <x:v>26INR0465</x:v>
      </x:c>
      <x:c r="Q13" s="28" t="str">
        <x:v>Medium</x:v>
      </x:c>
      <x:c r="R13" s="28" t="str">
        <x:v>Public Grid</x:v>
      </x:c>
      <x:c r="S13" s="31" t="n">
        <x:v>45645</x:v>
      </x:c>
      <x:c r="T13" s="31" t="str"/>
      <x:c r="U13" s="31" t="n">
        <x:v>46935</x:v>
      </x:c>
      <x:c r="V13" s="28" t="str">
        <x:v>Real ERCOT GIS project row. Latitude/longitude are county-centroid placeholders for prototype map testing, not project-site coordinates.</x:v>
      </x:c>
    </x:row>
    <x:row r="14">
      <x:c r="A14" s="28" t="str">
        <x:v>ercot_bess_013</x:v>
      </x:c>
      <x:c r="B14" s="28" t="str">
        <x:v>Moccasin Storage</x:v>
      </x:c>
      <x:c r="C14" s="28" t="str">
        <x:v>BESS</x:v>
      </x:c>
      <x:c r="D14" s="28" t="str">
        <x:v>Queue</x:v>
      </x:c>
      <x:c r="E14" s="28" t="str">
        <x:v>ENGIE IR Holdings LLC</x:v>
      </x:c>
      <x:c r="F14" s="28" t="str">
        <x:v>Unknown</x:v>
      </x:c>
      <x:c r="G14" s="28" t="str">
        <x:v>ENGIE IR Holdings LLC</x:v>
      </x:c>
      <x:c r="H14" s="28" t="str">
        <x:v>Jones</x:v>
      </x:c>
      <x:c r="I14" s="29" t="str">
        <x:v>TX</x:v>
      </x:c>
      <x:c r="J14" s="29" t="n">
        <x:v>32.74</x:v>
      </x:c>
      <x:c r="K14" s="28" t="n">
        <x:v>-99.88</x:v>
      </x:c>
      <x:c r="L14" s="30" t="n">
        <x:v>603.08</x:v>
      </x:c>
      <x:c r="M14" s="30" t="str"/>
      <x:c r="N14" s="28" t="str">
        <x:v>Tap 345kV #60707 Kirchhoff -  #60515 Clear Crossing CKT-2</x:v>
      </x:c>
      <x:c r="O14" s="28" t="n">
        <x:v>345</x:v>
      </x:c>
      <x:c r="P14" s="28" t="str">
        <x:v>27INR0452</x:v>
      </x:c>
      <x:c r="Q14" s="28" t="str">
        <x:v>Medium</x:v>
      </x:c>
      <x:c r="R14" s="28" t="str">
        <x:v>Public Grid</x:v>
      </x:c>
      <x:c r="S14" s="31" t="n">
        <x:v>45685</x:v>
      </x:c>
      <x:c r="T14" s="31" t="str"/>
      <x:c r="U14" s="31" t="n">
        <x:v>46935</x:v>
      </x:c>
      <x:c r="V14" s="28" t="str">
        <x:v>Real ERCOT GIS project row. Latitude/longitude are county-centroid placeholders for prototype map testing, not project-site coordinates.</x:v>
      </x:c>
    </x:row>
    <x:row r="15">
      <x:c r="A15" s="28" t="str">
        <x:v>ercot_bess_014</x:v>
      </x:c>
      <x:c r="B15" s="28" t="str">
        <x:v>Hobby BESS I</x:v>
      </x:c>
      <x:c r="C15" s="28" t="str">
        <x:v>BESS</x:v>
      </x:c>
      <x:c r="D15" s="28" t="str">
        <x:v>Queue</x:v>
      </x:c>
      <x:c r="E15" s="28" t="str">
        <x:v>Airport Storage II LLC</x:v>
      </x:c>
      <x:c r="F15" s="28" t="str">
        <x:v>Unknown</x:v>
      </x:c>
      <x:c r="G15" s="28" t="str">
        <x:v>Airport Storage II LLC</x:v>
      </x:c>
      <x:c r="H15" s="28" t="str">
        <x:v>Harris</x:v>
      </x:c>
      <x:c r="I15" s="29" t="str">
        <x:v>TX</x:v>
      </x:c>
      <x:c r="J15" s="29" t="n">
        <x:v>29.86</x:v>
      </x:c>
      <x:c r="K15" s="28" t="n">
        <x:v>-95.39</x:v>
      </x:c>
      <x:c r="L15" s="30" t="n">
        <x:v>602.56</x:v>
      </x:c>
      <x:c r="M15" s="30" t="str"/>
      <x:c r="N15" s="28" t="str">
        <x:v>Double Tap 138kV 42680 Garden Villas – 48250 Hall &amp; 42680 Garden Villas – 48013 Chocolate Bayou</x:v>
      </x:c>
      <x:c r="O15" s="28" t="n">
        <x:v>138</x:v>
      </x:c>
      <x:c r="P15" s="28" t="str">
        <x:v>26INR0546</x:v>
      </x:c>
      <x:c r="Q15" s="28" t="str">
        <x:v>Medium</x:v>
      </x:c>
      <x:c r="R15" s="28" t="str">
        <x:v>Public Grid</x:v>
      </x:c>
      <x:c r="S15" s="31" t="n">
        <x:v>45539</x:v>
      </x:c>
      <x:c r="T15" s="31" t="str"/>
      <x:c r="U15" s="31" t="n">
        <x:v>46675</x:v>
      </x:c>
      <x:c r="V15" s="28" t="str">
        <x:v>Real ERCOT GIS project row. Latitude/longitude are county-centroid placeholders for prototype map testing, not project-site coordinates.</x:v>
      </x:c>
    </x:row>
    <x:row r="16">
      <x:c r="A16" s="28" t="str">
        <x:v>ercot_bess_015</x:v>
      </x:c>
      <x:c r="B16" s="28" t="str">
        <x:v>Kilby1 Part 2 Tier1 BESS</x:v>
      </x:c>
      <x:c r="C16" s="28" t="str">
        <x:v>BESS</x:v>
      </x:c>
      <x:c r="D16" s="28" t="str">
        <x:v>Queue</x:v>
      </x:c>
      <x:c r="E16" s="28" t="str">
        <x:v>Energy Forge One LLC</x:v>
      </x:c>
      <x:c r="F16" s="28" t="str">
        <x:v>Unknown</x:v>
      </x:c>
      <x:c r="G16" s="28" t="str">
        <x:v>Energy Forge One LLC</x:v>
      </x:c>
      <x:c r="H16" s="28" t="str">
        <x:v>Reeves</x:v>
      </x:c>
      <x:c r="I16" s="29" t="str">
        <x:v>TX</x:v>
      </x:c>
      <x:c r="J16" s="29" t="n">
        <x:v>31.34</x:v>
      </x:c>
      <x:c r="K16" s="28" t="n">
        <x:v>-103.69</x:v>
      </x:c>
      <x:c r="L16" s="30" t="n">
        <x:v>560</x:v>
      </x:c>
      <x:c r="M16" s="30" t="str"/>
      <x:c r="N16" s="28" t="str">
        <x:v>Tap 345 11098 SLKSW – 60404 SOLSTICE Ckt 1 Tap 345 11098 SLKSW – 60404 SOLSTICE Ckt 2</x:v>
      </x:c>
      <x:c r="O16" s="28" t="str"/>
      <x:c r="P16" s="28" t="str">
        <x:v>28INR0457</x:v>
      </x:c>
      <x:c r="Q16" s="28" t="str">
        <x:v>Medium</x:v>
      </x:c>
      <x:c r="R16" s="28" t="str">
        <x:v>Public Grid</x:v>
      </x:c>
      <x:c r="S16" s="31" t="n">
        <x:v>46048</x:v>
      </x:c>
      <x:c r="T16" s="31" t="str"/>
      <x:c r="U16" s="31" t="n">
        <x:v>46773</x:v>
      </x:c>
      <x:c r="V16" s="28" t="str">
        <x:v>Real ERCOT GIS project row. Latitude/longitude are county-centroid placeholders for prototype map testing, not project-site coordinates.</x:v>
      </x:c>
    </x:row>
    <x:row r="17">
      <x:c r="A17" s="28" t="str">
        <x:v>ercot_bess_016</x:v>
      </x:c>
      <x:c r="B17" s="28" t="str">
        <x:v>Miller Bend Energy BESS</x:v>
      </x:c>
      <x:c r="C17" s="28" t="str">
        <x:v>BESS</x:v>
      </x:c>
      <x:c r="D17" s="28" t="str">
        <x:v>Queue</x:v>
      </x:c>
      <x:c r="E17" s="28" t="str">
        <x:v>Miller Bend Energy</x:v>
      </x:c>
      <x:c r="F17" s="28" t="str">
        <x:v>Unknown</x:v>
      </x:c>
      <x:c r="G17" s="28" t="str">
        <x:v>Miller Bend Energy</x:v>
      </x:c>
      <x:c r="H17" s="28" t="str">
        <x:v>Young</x:v>
      </x:c>
      <x:c r="I17" s="29" t="str">
        <x:v>TX</x:v>
      </x:c>
      <x:c r="J17" s="29" t="n">
        <x:v>33.18</x:v>
      </x:c>
      <x:c r="K17" s="28" t="n">
        <x:v>-98.69</x:v>
      </x:c>
      <x:c r="L17" s="30" t="n">
        <x:v>547.62</x:v>
      </x:c>
      <x:c r="M17" s="30" t="str"/>
      <x:c r="N17" s="28" t="str">
        <x:v>Tap 345kV (Bus1#1430) Graham SES to (Bus2#11050) Dusty Road</x:v>
      </x:c>
      <x:c r="O17" s="28" t="n">
        <x:v>345</x:v>
      </x:c>
      <x:c r="P17" s="28" t="str">
        <x:v>29INR0204</x:v>
      </x:c>
      <x:c r="Q17" s="28" t="str">
        <x:v>Medium</x:v>
      </x:c>
      <x:c r="R17" s="28" t="str">
        <x:v>Public Grid</x:v>
      </x:c>
      <x:c r="S17" s="31" t="n">
        <x:v>46008</x:v>
      </x:c>
      <x:c r="T17" s="31" t="str"/>
      <x:c r="U17" s="31" t="n">
        <x:v>47453</x:v>
      </x:c>
      <x:c r="V17" s="28" t="str">
        <x:v>Real ERCOT GIS project row. Latitude/longitude are county-centroid placeholders for prototype map testing, not project-site coordinates.</x:v>
      </x:c>
    </x:row>
    <x:row r="18">
      <x:c r="A18" s="28" t="str">
        <x:v>ercot_bess_017</x:v>
      </x:c>
      <x:c r="B18" s="28" t="str">
        <x:v>Midnight Sun Energy Storage</x:v>
      </x:c>
      <x:c r="C18" s="28" t="str">
        <x:v>BESS</x:v>
      </x:c>
      <x:c r="D18" s="28" t="str">
        <x:v>Queue</x:v>
      </x:c>
      <x:c r="E18" s="28" t="str">
        <x:v>Midnight Sun Energy Storage, LLC</x:v>
      </x:c>
      <x:c r="F18" s="28" t="str">
        <x:v>Unknown</x:v>
      </x:c>
      <x:c r="G18" s="28" t="str">
        <x:v>Midnight Sun Energy Storage, LLC</x:v>
      </x:c>
      <x:c r="H18" s="28" t="str">
        <x:v>Crockett</x:v>
      </x:c>
      <x:c r="I18" s="29" t="str">
        <x:v>TX</x:v>
      </x:c>
      <x:c r="J18" s="29" t="n">
        <x:v>30.73</x:v>
      </x:c>
      <x:c r="K18" s="28" t="n">
        <x:v>-101.41</x:v>
      </x:c>
      <x:c r="L18" s="30" t="n">
        <x:v>523.86</x:v>
      </x:c>
      <x:c r="M18" s="30" t="str"/>
      <x:c r="N18" s="28" t="str">
        <x:v>6601 Rio Pecos 138kV</x:v>
      </x:c>
      <x:c r="O18" s="28" t="n">
        <x:v>138</x:v>
      </x:c>
      <x:c r="P18" s="28" t="str">
        <x:v>24INR0442</x:v>
      </x:c>
      <x:c r="Q18" s="28" t="str">
        <x:v>Medium</x:v>
      </x:c>
      <x:c r="R18" s="28" t="str">
        <x:v>Public Grid</x:v>
      </x:c>
      <x:c r="S18" s="31" t="n">
        <x:v>44902</x:v>
      </x:c>
      <x:c r="T18" s="31" t="n">
        <x:v>45852</x:v>
      </x:c>
      <x:c r="U18" s="31" t="n">
        <x:v>46933</x:v>
      </x:c>
      <x:c r="V18" s="28" t="str">
        <x:v>Real ERCOT GIS project row. Latitude/longitude are county-centroid placeholders for prototype map testing, not project-site coordinates. ERCOT GIS report shows IA Signed date.</x:v>
      </x:c>
    </x:row>
    <x:row r="19">
      <x:c r="A19" s="28" t="str">
        <x:v>ercot_bess_018</x:v>
      </x:c>
      <x:c r="B19" s="28" t="str">
        <x:v>Knight Airport BESS I</x:v>
      </x:c>
      <x:c r="C19" s="28" t="str">
        <x:v>BESS</x:v>
      </x:c>
      <x:c r="D19" s="28" t="str">
        <x:v>Queue</x:v>
      </x:c>
      <x:c r="E19" s="28" t="str">
        <x:v>Airport Storage I LLC</x:v>
      </x:c>
      <x:c r="F19" s="28" t="str">
        <x:v>Unknown</x:v>
      </x:c>
      <x:c r="G19" s="28" t="str">
        <x:v>Airport Storage I LLC</x:v>
      </x:c>
      <x:c r="H19" s="28" t="str">
        <x:v>Harris</x:v>
      </x:c>
      <x:c r="I19" s="29" t="str">
        <x:v>TX</x:v>
      </x:c>
      <x:c r="J19" s="29" t="n">
        <x:v>29.86</x:v>
      </x:c>
      <x:c r="K19" s="28" t="n">
        <x:v>-95.39</x:v>
      </x:c>
      <x:c r="L19" s="30" t="n">
        <x:v>522.46</x:v>
      </x:c>
      <x:c r="M19" s="30" t="str"/>
      <x:c r="N19" s="28" t="str">
        <x:v>Tap 138kV 48126 Gulfgate - 48199 Knight 06 and 42680 Garden Villas - 42770 Ashville 06</x:v>
      </x:c>
      <x:c r="O19" s="28" t="n">
        <x:v>138</x:v>
      </x:c>
      <x:c r="P19" s="28" t="str">
        <x:v>26INR0545</x:v>
      </x:c>
      <x:c r="Q19" s="28" t="str">
        <x:v>Medium</x:v>
      </x:c>
      <x:c r="R19" s="28" t="str">
        <x:v>Public Grid</x:v>
      </x:c>
      <x:c r="S19" s="31" t="n">
        <x:v>45520</x:v>
      </x:c>
      <x:c r="T19" s="31" t="str"/>
      <x:c r="U19" s="31" t="n">
        <x:v>46675</x:v>
      </x:c>
      <x:c r="V19" s="28" t="str">
        <x:v>Real ERCOT GIS project row. Latitude/longitude are county-centroid placeholders for prototype map testing, not project-site coordinates.</x:v>
      </x:c>
    </x:row>
    <x:row r="20">
      <x:c r="A20" s="28" t="str">
        <x:v>ercot_bess_019</x:v>
      </x:c>
      <x:c r="B20" s="28" t="str">
        <x:v>Avalon BESS</x:v>
      </x:c>
      <x:c r="C20" s="28" t="str">
        <x:v>BESS</x:v>
      </x:c>
      <x:c r="D20" s="28" t="str">
        <x:v>Queue</x:v>
      </x:c>
      <x:c r="E20" s="28" t="str">
        <x:v>Avalon BESS, LLC</x:v>
      </x:c>
      <x:c r="F20" s="28" t="str">
        <x:v>Unknown</x:v>
      </x:c>
      <x:c r="G20" s="28" t="str">
        <x:v>Avalon BESS, LLC</x:v>
      </x:c>
      <x:c r="H20" s="28" t="str">
        <x:v>Fort Bend</x:v>
      </x:c>
      <x:c r="I20" s="29" t="str">
        <x:v>TX</x:v>
      </x:c>
      <x:c r="J20" s="29" t="n">
        <x:v>29.53</x:v>
      </x:c>
      <x:c r="K20" s="28" t="n">
        <x:v>-95.77</x:v>
      </x:c>
      <x:c r="L20" s="30" t="n">
        <x:v>522.12</x:v>
      </x:c>
      <x:c r="M20" s="30" t="str"/>
      <x:c r="N20" s="28" t="str">
        <x:v>Tapping the 345 kV Line from Smithers (Bus# 44650) to Bellaire (Bus# 47000).</x:v>
      </x:c>
      <x:c r="O20" s="28" t="n">
        <x:v>345</x:v>
      </x:c>
      <x:c r="P20" s="28" t="str">
        <x:v>26INR0375</x:v>
      </x:c>
      <x:c r="Q20" s="28" t="str">
        <x:v>Medium</x:v>
      </x:c>
      <x:c r="R20" s="28" t="str">
        <x:v>Public Grid</x:v>
      </x:c>
      <x:c r="S20" s="31" t="n">
        <x:v>45280</x:v>
      </x:c>
      <x:c r="T20" s="31" t="n">
        <x:v>45643</x:v>
      </x:c>
      <x:c r="U20" s="31" t="n">
        <x:v>46357</x:v>
      </x:c>
      <x:c r="V20" s="28" t="str">
        <x:v>Real ERCOT GIS project row. Latitude/longitude are county-centroid placeholders for prototype map testing, not project-site coordinates. ERCOT GIS report shows IA Signed date.</x:v>
      </x:c>
    </x:row>
    <x:row r="21">
      <x:c r="A21" s="28" t="str">
        <x:v>ercot_bess_020</x:v>
      </x:c>
      <x:c r="B21" s="28" t="str">
        <x:v>Falcon BESS</x:v>
      </x:c>
      <x:c r="C21" s="28" t="str">
        <x:v>BESS</x:v>
      </x:c>
      <x:c r="D21" s="28" t="str">
        <x:v>Queue</x:v>
      </x:c>
      <x:c r="E21" s="28" t="str">
        <x:v>Falcon Energy Project, LLC</x:v>
      </x:c>
      <x:c r="F21" s="28" t="str">
        <x:v>Unknown</x:v>
      </x:c>
      <x:c r="G21" s="28" t="str">
        <x:v>Falcon Energy Project, LLC</x:v>
      </x:c>
      <x:c r="H21" s="28" t="str">
        <x:v>Zapata</x:v>
      </x:c>
      <x:c r="I21" s="29" t="str">
        <x:v>TX</x:v>
      </x:c>
      <x:c r="J21" s="29" t="n">
        <x:v>26.97</x:v>
      </x:c>
      <x:c r="K21" s="28" t="n">
        <x:v>-99.17</x:v>
      </x:c>
      <x:c r="L21" s="30" t="n">
        <x:v>516.72</x:v>
      </x:c>
      <x:c r="M21" s="30" t="str"/>
      <x:c r="N21" s="28" t="str">
        <x:v>Tap 345kV #80225 CENIZO to #80307 DEL SOL</x:v>
      </x:c>
      <x:c r="O21" s="28" t="n">
        <x:v>345</x:v>
      </x:c>
      <x:c r="P21" s="28" t="str">
        <x:v>29INR0169</x:v>
      </x:c>
      <x:c r="Q21" s="28" t="str">
        <x:v>Medium</x:v>
      </x:c>
      <x:c r="R21" s="28" t="str">
        <x:v>Public Grid</x:v>
      </x:c>
      <x:c r="S21" s="31" t="n">
        <x:v>45909</x:v>
      </x:c>
      <x:c r="T21" s="31" t="str"/>
      <x:c r="U21" s="31" t="n">
        <x:v>47453</x:v>
      </x:c>
      <x:c r="V21" s="28" t="str">
        <x:v>Real ERCOT GIS project row. Latitude/longitude are county-centroid placeholders for prototype map testing, not project-site coordinates.</x:v>
      </x:c>
    </x:row>
    <x:row r="22">
      <x:c r="A22" s="28" t="str">
        <x:v>ercot_bess_021</x:v>
      </x:c>
      <x:c r="B22" s="28" t="str">
        <x:v>Ochoa Energy Storage II</x:v>
      </x:c>
      <x:c r="C22" s="28" t="str">
        <x:v>BESS</x:v>
      </x:c>
      <x:c r="D22" s="28" t="str">
        <x:v>Queue</x:v>
      </x:c>
      <x:c r="E22" s="28" t="str">
        <x:v>Ochoa Energy Storage II LLC</x:v>
      </x:c>
      <x:c r="F22" s="28" t="str">
        <x:v>Unknown</x:v>
      </x:c>
      <x:c r="G22" s="28" t="str">
        <x:v>Ochoa Energy Storage II LLC</x:v>
      </x:c>
      <x:c r="H22" s="28" t="str">
        <x:v>Waller</x:v>
      </x:c>
      <x:c r="I22" s="29" t="str">
        <x:v>TX</x:v>
      </x:c>
      <x:c r="J22" s="29" t="n">
        <x:v>30.01</x:v>
      </x:c>
      <x:c r="K22" s="28" t="n">
        <x:v>-95.99</x:v>
      </x:c>
      <x:c r="L22" s="30" t="n">
        <x:v>516.56</x:v>
      </x:c>
      <x:c r="M22" s="30" t="str"/>
      <x:c r="N22" s="28" t="str">
        <x:v>Tap 138kV 44420 Katy - 44230 Flewellen</x:v>
      </x:c>
      <x:c r="O22" s="28" t="n">
        <x:v>138</x:v>
      </x:c>
      <x:c r="P22" s="28" t="str">
        <x:v>27INR0235</x:v>
      </x:c>
      <x:c r="Q22" s="28" t="str">
        <x:v>Medium</x:v>
      </x:c>
      <x:c r="R22" s="28" t="str">
        <x:v>Public Grid</x:v>
      </x:c>
      <x:c r="S22" s="31" t="n">
        <x:v>45397</x:v>
      </x:c>
      <x:c r="T22" s="31" t="str"/>
      <x:c r="U22" s="31" t="n">
        <x:v>47119</x:v>
      </x:c>
      <x:c r="V22" s="28" t="str">
        <x:v>Real ERCOT GIS project row. Latitude/longitude are county-centroid placeholders for prototype map testing, not project-site coordinates.</x:v>
      </x:c>
    </x:row>
    <x:row r="23">
      <x:c r="A23" s="28" t="str">
        <x:v>ercot_bess_022</x:v>
      </x:c>
      <x:c r="B23" s="28" t="str">
        <x:v>Enfinity Redbud Storage</x:v>
      </x:c>
      <x:c r="C23" s="28" t="str">
        <x:v>BESS</x:v>
      </x:c>
      <x:c r="D23" s="28" t="str">
        <x:v>Queue</x:v>
      </x:c>
      <x:c r="E23" s="28" t="str">
        <x:v>EG Redbud LLC</x:v>
      </x:c>
      <x:c r="F23" s="28" t="str">
        <x:v>Unknown</x:v>
      </x:c>
      <x:c r="G23" s="28" t="str">
        <x:v>EG Redbud LLC</x:v>
      </x:c>
      <x:c r="H23" s="28" t="str">
        <x:v>Comal</x:v>
      </x:c>
      <x:c r="I23" s="29" t="str">
        <x:v>TX</x:v>
      </x:c>
      <x:c r="J23" s="29" t="n">
        <x:v>29.81</x:v>
      </x:c>
      <x:c r="K23" s="28" t="n">
        <x:v>-98.28</x:v>
      </x:c>
      <x:c r="L23" s="30" t="n">
        <x:v>516.05</x:v>
      </x:c>
      <x:c r="M23" s="30" t="str"/>
      <x:c r="N23" s="28" t="str">
        <x:v>345kV Hays Energy (7043) - 345kV Bergheim (7770)</x:v>
      </x:c>
      <x:c r="O23" s="28" t="n">
        <x:v>345</x:v>
      </x:c>
      <x:c r="P23" s="28" t="str">
        <x:v>29INR0242</x:v>
      </x:c>
      <x:c r="Q23" s="28" t="str">
        <x:v>Medium</x:v>
      </x:c>
      <x:c r="R23" s="28" t="str">
        <x:v>Public Grid</x:v>
      </x:c>
      <x:c r="S23" s="31" t="n">
        <x:v>46063</x:v>
      </x:c>
      <x:c r="T23" s="31" t="str"/>
      <x:c r="U23" s="31" t="n">
        <x:v>47470</x:v>
      </x:c>
      <x:c r="V23" s="28" t="str">
        <x:v>Real ERCOT GIS project row. Latitude/longitude are county-centroid placeholders for prototype map testing, not project-site coordinates.</x:v>
      </x:c>
    </x:row>
    <x:row r="24">
      <x:c r="A24" s="28" t="str">
        <x:v>ercot_bess_023</x:v>
      </x:c>
      <x:c r="B24" s="28" t="str">
        <x:v>Seven Angels Energy Storage I</x:v>
      </x:c>
      <x:c r="C24" s="28" t="str">
        <x:v>BESS</x:v>
      </x:c>
      <x:c r="D24" s="28" t="str">
        <x:v>Queue</x:v>
      </x:c>
      <x:c r="E24" s="28" t="str">
        <x:v>Seven Angels Infrastructure LLC</x:v>
      </x:c>
      <x:c r="F24" s="28" t="str">
        <x:v>Unknown</x:v>
      </x:c>
      <x:c r="G24" s="28" t="str">
        <x:v>Seven Angels Infrastructure LLC</x:v>
      </x:c>
      <x:c r="H24" s="28" t="str">
        <x:v>Hill</x:v>
      </x:c>
      <x:c r="I24" s="29" t="str">
        <x:v>TX</x:v>
      </x:c>
      <x:c r="J24" s="29" t="n">
        <x:v>31.99</x:v>
      </x:c>
      <x:c r="K24" s="28" t="n">
        <x:v>-97.13</x:v>
      </x:c>
      <x:c r="L24" s="30" t="n">
        <x:v>514</x:v>
      </x:c>
      <x:c r="M24" s="30" t="str"/>
      <x:c r="N24" s="28" t="str">
        <x:v>68090 Sam Switch Bus 345kV</x:v>
      </x:c>
      <x:c r="O24" s="28" t="n">
        <x:v>345</x:v>
      </x:c>
      <x:c r="P24" s="28" t="str">
        <x:v>28INR0472</x:v>
      </x:c>
      <x:c r="Q24" s="28" t="str">
        <x:v>Medium</x:v>
      </x:c>
      <x:c r="R24" s="28" t="str">
        <x:v>Public Grid</x:v>
      </x:c>
      <x:c r="S24" s="31" t="n">
        <x:v>45966</x:v>
      </x:c>
      <x:c r="T24" s="31" t="str"/>
      <x:c r="U24" s="31" t="n">
        <x:v>47118</x:v>
      </x:c>
      <x:c r="V24" s="28" t="str">
        <x:v>Real ERCOT GIS project row. Latitude/longitude are county-centroid placeholders for prototype map testing, not project-site coordinates.</x:v>
      </x:c>
    </x:row>
    <x:row r="25">
      <x:c r="A25" s="28" t="str">
        <x:v>ercot_bess_024</x:v>
      </x:c>
      <x:c r="B25" s="28" t="str">
        <x:v>Seven Angels Energy Storage II</x:v>
      </x:c>
      <x:c r="C25" s="28" t="str">
        <x:v>BESS</x:v>
      </x:c>
      <x:c r="D25" s="28" t="str">
        <x:v>Queue</x:v>
      </x:c>
      <x:c r="E25" s="28" t="str">
        <x:v>Seven Angels Infrastructure LLC</x:v>
      </x:c>
      <x:c r="F25" s="28" t="str">
        <x:v>Unknown</x:v>
      </x:c>
      <x:c r="G25" s="28" t="str">
        <x:v>Seven Angels Infrastructure LLC</x:v>
      </x:c>
      <x:c r="H25" s="28" t="str">
        <x:v>Hill</x:v>
      </x:c>
      <x:c r="I25" s="29" t="str">
        <x:v>TX</x:v>
      </x:c>
      <x:c r="J25" s="29" t="n">
        <x:v>31.99</x:v>
      </x:c>
      <x:c r="K25" s="28" t="n">
        <x:v>-97.13</x:v>
      </x:c>
      <x:c r="L25" s="30" t="n">
        <x:v>514</x:v>
      </x:c>
      <x:c r="M25" s="30" t="str"/>
      <x:c r="N25" s="28" t="str">
        <x:v>68090 Sam Switch Bus 345kV</x:v>
      </x:c>
      <x:c r="O25" s="28" t="n">
        <x:v>345</x:v>
      </x:c>
      <x:c r="P25" s="28" t="str">
        <x:v>28INR0473</x:v>
      </x:c>
      <x:c r="Q25" s="28" t="str">
        <x:v>Medium</x:v>
      </x:c>
      <x:c r="R25" s="28" t="str">
        <x:v>Public Grid</x:v>
      </x:c>
      <x:c r="S25" s="31" t="n">
        <x:v>45966</x:v>
      </x:c>
      <x:c r="T25" s="31" t="str"/>
      <x:c r="U25" s="31" t="n">
        <x:v>47118</x:v>
      </x:c>
      <x:c r="V25" s="28" t="str">
        <x:v>Real ERCOT GIS project row. Latitude/longitude are county-centroid placeholders for prototype map testing, not project-site coordinates.</x:v>
      </x:c>
    </x:row>
    <x:row r="26">
      <x:c r="A26" s="28" t="str">
        <x:v>ercot_bess_025</x:v>
      </x:c>
      <x:c r="B26" s="28" t="str">
        <x:v>Ross Storage</x:v>
      </x:c>
      <x:c r="C26" s="28" t="str">
        <x:v>BESS</x:v>
      </x:c>
      <x:c r="D26" s="28" t="str">
        <x:v>Queue</x:v>
      </x:c>
      <x:c r="E26" s="28" t="str">
        <x:v>S&amp;S Renewables, LLC</x:v>
      </x:c>
      <x:c r="F26" s="28" t="str">
        <x:v>Unknown</x:v>
      </x:c>
      <x:c r="G26" s="28" t="str">
        <x:v>S&amp;S Renewables, LLC</x:v>
      </x:c>
      <x:c r="H26" s="28" t="str">
        <x:v>Refugio</x:v>
      </x:c>
      <x:c r="I26" s="29" t="str">
        <x:v>TX</x:v>
      </x:c>
      <x:c r="J26" s="29" t="n">
        <x:v>28.31</x:v>
      </x:c>
      <x:c r="K26" s="28" t="n">
        <x:v>-97.16</x:v>
      </x:c>
      <x:c r="L26" s="30" t="n">
        <x:v>510.99</x:v>
      </x:c>
      <x:c r="M26" s="30" t="str"/>
      <x:c r="N26" s="28" t="str">
        <x:v>tap the 345 kV Angstrom (#8249) – Static (#8676) line; AEP</x:v>
      </x:c>
      <x:c r="O26" s="28" t="n">
        <x:v>345</x:v>
      </x:c>
      <x:c r="P26" s="28" t="str">
        <x:v>26INR0156</x:v>
      </x:c>
      <x:c r="Q26" s="28" t="str">
        <x:v>Medium</x:v>
      </x:c>
      <x:c r="R26" s="28" t="str">
        <x:v>Public Grid</x:v>
      </x:c>
      <x:c r="S26" s="31" t="n">
        <x:v>45152</x:v>
      </x:c>
      <x:c r="T26" s="31" t="n">
        <x:v>45470</x:v>
      </x:c>
      <x:c r="U26" s="31" t="n">
        <x:v>46599</x:v>
      </x:c>
      <x:c r="V26" s="28" t="str">
        <x:v>Real ERCOT GIS project row. Latitude/longitude are county-centroid placeholders for prototype map testing, not project-site coordinates. ERCOT GIS report shows IA Signed date.</x:v>
      </x:c>
    </x:row>
    <x:row r="27">
      <x:c r="A27" s="28"/>
      <x:c r="B27" s="28"/>
      <x:c r="C27" s="28"/>
      <x:c r="D27" s="28"/>
      <x:c r="E27" s="28"/>
      <x:c r="F27" s="28"/>
      <x:c r="G27" s="28"/>
      <x:c r="H27" s="28"/>
      <x:c r="I27" s="29"/>
      <x:c r="J27" s="29"/>
      <x:c r="K27" s="28"/>
      <x:c r="L27" s="30"/>
      <x:c r="M27" s="30"/>
      <x:c r="N27" s="28"/>
      <x:c r="O27" s="28"/>
      <x:c r="P27" s="28"/>
      <x:c r="Q27" s="28"/>
      <x:c r="R27" s="28"/>
      <x:c r="S27" s="31"/>
      <x:c r="T27" s="31"/>
      <x:c r="U27" s="31"/>
      <x:c r="V27" s="28"/>
    </x:row>
    <x:row r="28">
      <x:c r="A28" s="28"/>
      <x:c r="B28" s="28"/>
      <x:c r="C28" s="28"/>
      <x:c r="D28" s="28"/>
      <x:c r="E28" s="28"/>
      <x:c r="F28" s="28"/>
      <x:c r="G28" s="28"/>
      <x:c r="H28" s="28"/>
      <x:c r="I28" s="29"/>
      <x:c r="J28" s="29"/>
      <x:c r="K28" s="28"/>
      <x:c r="L28" s="30"/>
      <x:c r="M28" s="30"/>
      <x:c r="N28" s="28"/>
      <x:c r="O28" s="28"/>
      <x:c r="P28" s="28"/>
      <x:c r="Q28" s="28"/>
      <x:c r="R28" s="28"/>
      <x:c r="S28" s="31"/>
      <x:c r="T28" s="31"/>
      <x:c r="U28" s="31"/>
      <x:c r="V28" s="28"/>
    </x:row>
    <x:row r="29">
      <x:c r="A29" s="28"/>
      <x:c r="B29" s="28"/>
      <x:c r="C29" s="28"/>
      <x:c r="D29" s="28"/>
      <x:c r="E29" s="28"/>
      <x:c r="F29" s="28"/>
      <x:c r="G29" s="28"/>
      <x:c r="H29" s="28"/>
      <x:c r="I29" s="29"/>
      <x:c r="J29" s="29"/>
      <x:c r="K29" s="28"/>
      <x:c r="L29" s="30"/>
      <x:c r="M29" s="30"/>
      <x:c r="N29" s="28"/>
      <x:c r="O29" s="28"/>
      <x:c r="P29" s="28"/>
      <x:c r="Q29" s="28"/>
      <x:c r="R29" s="28"/>
      <x:c r="S29" s="31"/>
      <x:c r="T29" s="31"/>
      <x:c r="U29" s="31"/>
      <x:c r="V29" s="28"/>
    </x:row>
    <x:row r="30">
      <x:c r="A30" s="28"/>
      <x:c r="B30" s="28"/>
      <x:c r="C30" s="28"/>
      <x:c r="D30" s="28"/>
      <x:c r="E30" s="28"/>
      <x:c r="F30" s="28"/>
      <x:c r="G30" s="28"/>
      <x:c r="H30" s="28"/>
      <x:c r="I30" s="29"/>
      <x:c r="J30" s="29"/>
      <x:c r="K30" s="28"/>
      <x:c r="L30" s="30"/>
      <x:c r="M30" s="30"/>
      <x:c r="N30" s="28"/>
      <x:c r="O30" s="28"/>
      <x:c r="P30" s="28"/>
      <x:c r="Q30" s="28"/>
      <x:c r="R30" s="28"/>
      <x:c r="S30" s="31"/>
      <x:c r="T30" s="31"/>
      <x:c r="U30" s="31"/>
      <x:c r="V30" s="28"/>
    </x:row>
    <x:row r="31">
      <x:c r="A31" s="28"/>
      <x:c r="B31" s="28"/>
      <x:c r="C31" s="28"/>
      <x:c r="D31" s="28"/>
      <x:c r="E31" s="28"/>
      <x:c r="F31" s="28"/>
      <x:c r="G31" s="28"/>
      <x:c r="H31" s="28"/>
      <x:c r="I31" s="29"/>
      <x:c r="J31" s="29"/>
      <x:c r="K31" s="28"/>
      <x:c r="L31" s="30"/>
      <x:c r="M31" s="30"/>
      <x:c r="N31" s="28"/>
      <x:c r="O31" s="28"/>
      <x:c r="P31" s="28"/>
      <x:c r="Q31" s="28"/>
      <x:c r="R31" s="28"/>
      <x:c r="S31" s="31"/>
      <x:c r="T31" s="31"/>
      <x:c r="U31" s="31"/>
      <x:c r="V31" s="28"/>
    </x:row>
    <x:row r="32">
      <x:c r="A32" s="28"/>
      <x:c r="B32" s="28"/>
      <x:c r="C32" s="28"/>
      <x:c r="D32" s="28"/>
      <x:c r="E32" s="28"/>
      <x:c r="F32" s="28"/>
      <x:c r="G32" s="28"/>
      <x:c r="H32" s="28"/>
      <x:c r="I32" s="29"/>
      <x:c r="J32" s="29"/>
      <x:c r="K32" s="28"/>
      <x:c r="L32" s="30"/>
      <x:c r="M32" s="30"/>
      <x:c r="N32" s="28"/>
      <x:c r="O32" s="28"/>
      <x:c r="P32" s="28"/>
      <x:c r="Q32" s="28"/>
      <x:c r="R32" s="28"/>
      <x:c r="S32" s="31"/>
      <x:c r="T32" s="31"/>
      <x:c r="U32" s="31"/>
      <x:c r="V32" s="28"/>
    </x:row>
    <x:row r="33">
      <x:c r="A33" s="28"/>
      <x:c r="B33" s="28"/>
      <x:c r="C33" s="28"/>
      <x:c r="D33" s="28"/>
      <x:c r="E33" s="28"/>
      <x:c r="F33" s="28"/>
      <x:c r="G33" s="28"/>
      <x:c r="H33" s="28"/>
      <x:c r="I33" s="29"/>
      <x:c r="J33" s="29"/>
      <x:c r="K33" s="28"/>
      <x:c r="L33" s="30"/>
      <x:c r="M33" s="30"/>
      <x:c r="N33" s="28"/>
      <x:c r="O33" s="28"/>
      <x:c r="P33" s="28"/>
      <x:c r="Q33" s="28"/>
      <x:c r="R33" s="28"/>
      <x:c r="S33" s="31"/>
      <x:c r="T33" s="31"/>
      <x:c r="U33" s="31"/>
      <x:c r="V33" s="28"/>
    </x:row>
    <x:row r="34">
      <x:c r="A34" s="28"/>
      <x:c r="B34" s="28"/>
      <x:c r="C34" s="28"/>
      <x:c r="D34" s="28"/>
      <x:c r="E34" s="28"/>
      <x:c r="F34" s="28"/>
      <x:c r="G34" s="28"/>
      <x:c r="H34" s="28"/>
      <x:c r="I34" s="29"/>
      <x:c r="J34" s="29"/>
      <x:c r="K34" s="28"/>
      <x:c r="L34" s="30"/>
      <x:c r="M34" s="30"/>
      <x:c r="N34" s="28"/>
      <x:c r="O34" s="28"/>
      <x:c r="P34" s="28"/>
      <x:c r="Q34" s="28"/>
      <x:c r="R34" s="28"/>
      <x:c r="S34" s="31"/>
      <x:c r="T34" s="31"/>
      <x:c r="U34" s="31"/>
      <x:c r="V34" s="28"/>
    </x:row>
    <x:row r="35">
      <x:c r="A35" s="28"/>
      <x:c r="B35" s="28"/>
      <x:c r="C35" s="28"/>
      <x:c r="D35" s="28"/>
      <x:c r="E35" s="28"/>
      <x:c r="F35" s="28"/>
      <x:c r="G35" s="28"/>
      <x:c r="H35" s="28"/>
      <x:c r="I35" s="29"/>
      <x:c r="J35" s="29"/>
      <x:c r="K35" s="28"/>
      <x:c r="L35" s="30"/>
      <x:c r="M35" s="30"/>
      <x:c r="N35" s="28"/>
      <x:c r="O35" s="28"/>
      <x:c r="P35" s="28"/>
      <x:c r="Q35" s="28"/>
      <x:c r="R35" s="28"/>
      <x:c r="S35" s="31"/>
      <x:c r="T35" s="31"/>
      <x:c r="U35" s="31"/>
      <x:c r="V35" s="28"/>
    </x:row>
    <x:row r="36">
      <x:c r="A36" s="28"/>
      <x:c r="B36" s="28"/>
      <x:c r="C36" s="28"/>
      <x:c r="D36" s="28"/>
      <x:c r="E36" s="28"/>
      <x:c r="F36" s="28"/>
      <x:c r="G36" s="28"/>
      <x:c r="H36" s="28"/>
      <x:c r="I36" s="29"/>
      <x:c r="J36" s="29"/>
      <x:c r="K36" s="28"/>
      <x:c r="L36" s="30"/>
      <x:c r="M36" s="30"/>
      <x:c r="N36" s="28"/>
      <x:c r="O36" s="28"/>
      <x:c r="P36" s="28"/>
      <x:c r="Q36" s="28"/>
      <x:c r="R36" s="28"/>
      <x:c r="S36" s="31"/>
      <x:c r="T36" s="31"/>
      <x:c r="U36" s="31"/>
      <x:c r="V36" s="28"/>
    </x:row>
    <x:row r="37">
      <x:c r="A37" s="28"/>
      <x:c r="B37" s="28"/>
      <x:c r="C37" s="28"/>
      <x:c r="D37" s="28"/>
      <x:c r="E37" s="28"/>
      <x:c r="F37" s="28"/>
      <x:c r="G37" s="28"/>
      <x:c r="H37" s="28"/>
      <x:c r="I37" s="29"/>
      <x:c r="J37" s="29"/>
      <x:c r="K37" s="28"/>
      <x:c r="L37" s="30"/>
      <x:c r="M37" s="30"/>
      <x:c r="N37" s="28"/>
      <x:c r="O37" s="28"/>
      <x:c r="P37" s="28"/>
      <x:c r="Q37" s="28"/>
      <x:c r="R37" s="28"/>
      <x:c r="S37" s="31"/>
      <x:c r="T37" s="31"/>
      <x:c r="U37" s="31"/>
      <x:c r="V37" s="28"/>
    </x:row>
    <x:row r="38">
      <x:c r="A38" s="28"/>
      <x:c r="B38" s="28"/>
      <x:c r="C38" s="28"/>
      <x:c r="D38" s="28"/>
      <x:c r="E38" s="28"/>
      <x:c r="F38" s="28"/>
      <x:c r="G38" s="28"/>
      <x:c r="H38" s="28"/>
      <x:c r="I38" s="29"/>
      <x:c r="J38" s="29"/>
      <x:c r="K38" s="28"/>
      <x:c r="L38" s="30"/>
      <x:c r="M38" s="30"/>
      <x:c r="N38" s="28"/>
      <x:c r="O38" s="28"/>
      <x:c r="P38" s="28"/>
      <x:c r="Q38" s="28"/>
      <x:c r="R38" s="28"/>
      <x:c r="S38" s="31"/>
      <x:c r="T38" s="31"/>
      <x:c r="U38" s="31"/>
      <x:c r="V38" s="28"/>
    </x:row>
    <x:row r="39">
      <x:c r="A39" s="28"/>
      <x:c r="B39" s="28"/>
      <x:c r="C39" s="28"/>
      <x:c r="D39" s="28"/>
      <x:c r="E39" s="28"/>
      <x:c r="F39" s="28"/>
      <x:c r="G39" s="28"/>
      <x:c r="H39" s="28"/>
      <x:c r="I39" s="29"/>
      <x:c r="J39" s="29"/>
      <x:c r="K39" s="28"/>
      <x:c r="L39" s="30"/>
      <x:c r="M39" s="30"/>
      <x:c r="N39" s="28"/>
      <x:c r="O39" s="28"/>
      <x:c r="P39" s="28"/>
      <x:c r="Q39" s="28"/>
      <x:c r="R39" s="28"/>
      <x:c r="S39" s="31"/>
      <x:c r="T39" s="31"/>
      <x:c r="U39" s="31"/>
      <x:c r="V39" s="28"/>
    </x:row>
    <x:row r="40">
      <x:c r="A40" s="28"/>
      <x:c r="B40" s="28"/>
      <x:c r="C40" s="28"/>
      <x:c r="D40" s="28"/>
      <x:c r="E40" s="28"/>
      <x:c r="F40" s="28"/>
      <x:c r="G40" s="28"/>
      <x:c r="H40" s="28"/>
      <x:c r="I40" s="29"/>
      <x:c r="J40" s="29"/>
      <x:c r="K40" s="28"/>
      <x:c r="L40" s="30"/>
      <x:c r="M40" s="30"/>
      <x:c r="N40" s="28"/>
      <x:c r="O40" s="28"/>
      <x:c r="P40" s="28"/>
      <x:c r="Q40" s="28"/>
      <x:c r="R40" s="28"/>
      <x:c r="S40" s="31"/>
      <x:c r="T40" s="31"/>
      <x:c r="U40" s="31"/>
      <x:c r="V40" s="28"/>
    </x:row>
    <x:row r="41">
      <x:c r="A41" s="28"/>
      <x:c r="B41" s="28"/>
      <x:c r="C41" s="28"/>
      <x:c r="D41" s="28"/>
      <x:c r="E41" s="28"/>
      <x:c r="F41" s="28"/>
      <x:c r="G41" s="28"/>
      <x:c r="H41" s="28"/>
      <x:c r="I41" s="29"/>
      <x:c r="J41" s="29"/>
      <x:c r="K41" s="28"/>
      <x:c r="L41" s="30"/>
      <x:c r="M41" s="30"/>
      <x:c r="N41" s="28"/>
      <x:c r="O41" s="28"/>
      <x:c r="P41" s="28"/>
      <x:c r="Q41" s="28"/>
      <x:c r="R41" s="28"/>
      <x:c r="S41" s="31"/>
      <x:c r="T41" s="31"/>
      <x:c r="U41" s="31"/>
      <x:c r="V41" s="28"/>
    </x:row>
    <x:row r="42">
      <x:c r="A42" s="28"/>
      <x:c r="B42" s="28"/>
      <x:c r="C42" s="28"/>
      <x:c r="D42" s="28"/>
      <x:c r="E42" s="28"/>
      <x:c r="F42" s="28"/>
      <x:c r="G42" s="28"/>
      <x:c r="H42" s="28"/>
      <x:c r="I42" s="29"/>
      <x:c r="J42" s="29"/>
      <x:c r="K42" s="28"/>
      <x:c r="L42" s="30"/>
      <x:c r="M42" s="30"/>
      <x:c r="N42" s="28"/>
      <x:c r="O42" s="28"/>
      <x:c r="P42" s="28"/>
      <x:c r="Q42" s="28"/>
      <x:c r="R42" s="28"/>
      <x:c r="S42" s="31"/>
      <x:c r="T42" s="31"/>
      <x:c r="U42" s="31"/>
      <x:c r="V42" s="28"/>
    </x:row>
    <x:row r="43">
      <x:c r="A43" s="28"/>
      <x:c r="B43" s="28"/>
      <x:c r="C43" s="28"/>
      <x:c r="D43" s="28"/>
      <x:c r="E43" s="28"/>
      <x:c r="F43" s="28"/>
      <x:c r="G43" s="28"/>
      <x:c r="H43" s="28"/>
      <x:c r="I43" s="29"/>
      <x:c r="J43" s="29"/>
      <x:c r="K43" s="28"/>
      <x:c r="L43" s="30"/>
      <x:c r="M43" s="30"/>
      <x:c r="N43" s="28"/>
      <x:c r="O43" s="28"/>
      <x:c r="P43" s="28"/>
      <x:c r="Q43" s="28"/>
      <x:c r="R43" s="28"/>
      <x:c r="S43" s="31"/>
      <x:c r="T43" s="31"/>
      <x:c r="U43" s="31"/>
      <x:c r="V43" s="28"/>
    </x:row>
    <x:row r="44">
      <x:c r="A44" s="28"/>
      <x:c r="B44" s="28"/>
      <x:c r="C44" s="28"/>
      <x:c r="D44" s="28"/>
      <x:c r="E44" s="28"/>
      <x:c r="F44" s="28"/>
      <x:c r="G44" s="28"/>
      <x:c r="H44" s="28"/>
      <x:c r="I44" s="29"/>
      <x:c r="J44" s="29"/>
      <x:c r="K44" s="28"/>
      <x:c r="L44" s="30"/>
      <x:c r="M44" s="30"/>
      <x:c r="N44" s="28"/>
      <x:c r="O44" s="28"/>
      <x:c r="P44" s="28"/>
      <x:c r="Q44" s="28"/>
      <x:c r="R44" s="28"/>
      <x:c r="S44" s="31"/>
      <x:c r="T44" s="31"/>
      <x:c r="U44" s="31"/>
      <x:c r="V44" s="28"/>
    </x:row>
    <x:row r="45">
      <x:c r="A45" s="28"/>
      <x:c r="B45" s="28"/>
      <x:c r="C45" s="28"/>
      <x:c r="D45" s="28"/>
      <x:c r="E45" s="28"/>
      <x:c r="F45" s="28"/>
      <x:c r="G45" s="28"/>
      <x:c r="H45" s="28"/>
      <x:c r="I45" s="29"/>
      <x:c r="J45" s="29"/>
      <x:c r="K45" s="28"/>
      <x:c r="L45" s="30"/>
      <x:c r="M45" s="30"/>
      <x:c r="N45" s="28"/>
      <x:c r="O45" s="28"/>
      <x:c r="P45" s="28"/>
      <x:c r="Q45" s="28"/>
      <x:c r="R45" s="28"/>
      <x:c r="S45" s="31"/>
      <x:c r="T45" s="31"/>
      <x:c r="U45" s="31"/>
      <x:c r="V45" s="28"/>
    </x:row>
    <x:row r="46">
      <x:c r="A46" s="28"/>
      <x:c r="B46" s="28"/>
      <x:c r="C46" s="28"/>
      <x:c r="D46" s="28"/>
      <x:c r="E46" s="28"/>
      <x:c r="F46" s="28"/>
      <x:c r="G46" s="28"/>
      <x:c r="H46" s="28"/>
      <x:c r="I46" s="29"/>
      <x:c r="J46" s="29"/>
      <x:c r="K46" s="28"/>
      <x:c r="L46" s="30"/>
      <x:c r="M46" s="30"/>
      <x:c r="N46" s="28"/>
      <x:c r="O46" s="28"/>
      <x:c r="P46" s="28"/>
      <x:c r="Q46" s="28"/>
      <x:c r="R46" s="28"/>
      <x:c r="S46" s="31"/>
      <x:c r="T46" s="31"/>
      <x:c r="U46" s="31"/>
      <x:c r="V46" s="28"/>
    </x:row>
    <x:row r="47">
      <x:c r="A47" s="28"/>
      <x:c r="B47" s="28"/>
      <x:c r="C47" s="28"/>
      <x:c r="D47" s="28"/>
      <x:c r="E47" s="28"/>
      <x:c r="F47" s="28"/>
      <x:c r="G47" s="28"/>
      <x:c r="H47" s="28"/>
      <x:c r="I47" s="29"/>
      <x:c r="J47" s="29"/>
      <x:c r="K47" s="28"/>
      <x:c r="L47" s="30"/>
      <x:c r="M47" s="30"/>
      <x:c r="N47" s="28"/>
      <x:c r="O47" s="28"/>
      <x:c r="P47" s="28"/>
      <x:c r="Q47" s="28"/>
      <x:c r="R47" s="28"/>
      <x:c r="S47" s="31"/>
      <x:c r="T47" s="31"/>
      <x:c r="U47" s="31"/>
      <x:c r="V47" s="28"/>
    </x:row>
    <x:row r="48">
      <x:c r="A48" s="28"/>
      <x:c r="B48" s="28"/>
      <x:c r="C48" s="28"/>
      <x:c r="D48" s="28"/>
      <x:c r="E48" s="28"/>
      <x:c r="F48" s="28"/>
      <x:c r="G48" s="28"/>
      <x:c r="H48" s="28"/>
      <x:c r="I48" s="29"/>
      <x:c r="J48" s="29"/>
      <x:c r="K48" s="28"/>
      <x:c r="L48" s="30"/>
      <x:c r="M48" s="30"/>
      <x:c r="N48" s="28"/>
      <x:c r="O48" s="28"/>
      <x:c r="P48" s="28"/>
      <x:c r="Q48" s="28"/>
      <x:c r="R48" s="28"/>
      <x:c r="S48" s="31"/>
      <x:c r="T48" s="31"/>
      <x:c r="U48" s="31"/>
      <x:c r="V48" s="28"/>
    </x:row>
    <x:row r="49">
      <x:c r="A49" s="28"/>
      <x:c r="B49" s="28"/>
      <x:c r="C49" s="28"/>
      <x:c r="D49" s="28"/>
      <x:c r="E49" s="28"/>
      <x:c r="F49" s="28"/>
      <x:c r="G49" s="28"/>
      <x:c r="H49" s="28"/>
      <x:c r="I49" s="29"/>
      <x:c r="J49" s="29"/>
      <x:c r="K49" s="28"/>
      <x:c r="L49" s="30"/>
      <x:c r="M49" s="30"/>
      <x:c r="N49" s="28"/>
      <x:c r="O49" s="28"/>
      <x:c r="P49" s="28"/>
      <x:c r="Q49" s="28"/>
      <x:c r="R49" s="28"/>
      <x:c r="S49" s="31"/>
      <x:c r="T49" s="31"/>
      <x:c r="U49" s="31"/>
      <x:c r="V49" s="28"/>
    </x:row>
    <x:row r="50">
      <x:c r="A50" s="28"/>
      <x:c r="B50" s="28"/>
      <x:c r="C50" s="28"/>
      <x:c r="D50" s="28"/>
      <x:c r="E50" s="28"/>
      <x:c r="F50" s="28"/>
      <x:c r="G50" s="28"/>
      <x:c r="H50" s="28"/>
      <x:c r="I50" s="29"/>
      <x:c r="J50" s="29"/>
      <x:c r="K50" s="28"/>
      <x:c r="L50" s="30"/>
      <x:c r="M50" s="30"/>
      <x:c r="N50" s="28"/>
      <x:c r="O50" s="28"/>
      <x:c r="P50" s="28"/>
      <x:c r="Q50" s="28"/>
      <x:c r="R50" s="28"/>
      <x:c r="S50" s="31"/>
      <x:c r="T50" s="31"/>
      <x:c r="U50" s="31"/>
      <x:c r="V50" s="28"/>
    </x:row>
    <x:row r="51">
      <x:c r="A51" s="28"/>
      <x:c r="B51" s="28"/>
      <x:c r="C51" s="28"/>
      <x:c r="D51" s="28"/>
      <x:c r="E51" s="28"/>
      <x:c r="F51" s="28"/>
      <x:c r="G51" s="28"/>
      <x:c r="H51" s="28"/>
      <x:c r="I51" s="29"/>
      <x:c r="J51" s="29"/>
      <x:c r="K51" s="28"/>
      <x:c r="L51" s="30"/>
      <x:c r="M51" s="30"/>
      <x:c r="N51" s="28"/>
      <x:c r="O51" s="28"/>
      <x:c r="P51" s="28"/>
      <x:c r="Q51" s="28"/>
      <x:c r="R51" s="28"/>
      <x:c r="S51" s="31"/>
      <x:c r="T51" s="31"/>
      <x:c r="U51" s="31"/>
      <x:c r="V51" s="28"/>
    </x:row>
    <x:row r="52">
      <x:c r="A52" s="28"/>
      <x:c r="B52" s="28"/>
      <x:c r="C52" s="28"/>
      <x:c r="D52" s="28"/>
      <x:c r="E52" s="28"/>
      <x:c r="F52" s="28"/>
      <x:c r="G52" s="28"/>
      <x:c r="H52" s="28"/>
      <x:c r="I52" s="29"/>
      <x:c r="J52" s="29"/>
      <x:c r="K52" s="28"/>
      <x:c r="L52" s="30"/>
      <x:c r="M52" s="30"/>
      <x:c r="N52" s="28"/>
      <x:c r="O52" s="28"/>
      <x:c r="P52" s="28"/>
      <x:c r="Q52" s="28"/>
      <x:c r="R52" s="28"/>
      <x:c r="S52" s="31"/>
      <x:c r="T52" s="31"/>
      <x:c r="U52" s="31"/>
      <x:c r="V52" s="28"/>
    </x:row>
    <x:row r="53">
      <x:c r="A53" s="28"/>
      <x:c r="B53" s="28"/>
      <x:c r="C53" s="28"/>
      <x:c r="D53" s="28"/>
      <x:c r="E53" s="28"/>
      <x:c r="F53" s="28"/>
      <x:c r="G53" s="28"/>
      <x:c r="H53" s="28"/>
      <x:c r="I53" s="29"/>
      <x:c r="J53" s="29"/>
      <x:c r="K53" s="28"/>
      <x:c r="L53" s="30"/>
      <x:c r="M53" s="30"/>
      <x:c r="N53" s="28"/>
      <x:c r="O53" s="28"/>
      <x:c r="P53" s="28"/>
      <x:c r="Q53" s="28"/>
      <x:c r="R53" s="28"/>
      <x:c r="S53" s="31"/>
      <x:c r="T53" s="31"/>
      <x:c r="U53" s="31"/>
      <x:c r="V53" s="28"/>
    </x:row>
    <x:row r="54">
      <x:c r="A54" s="28"/>
      <x:c r="B54" s="28"/>
      <x:c r="C54" s="28"/>
      <x:c r="D54" s="28"/>
      <x:c r="E54" s="28"/>
      <x:c r="F54" s="28"/>
      <x:c r="G54" s="28"/>
      <x:c r="H54" s="28"/>
      <x:c r="I54" s="29"/>
      <x:c r="J54" s="29"/>
      <x:c r="K54" s="28"/>
      <x:c r="L54" s="30"/>
      <x:c r="M54" s="30"/>
      <x:c r="N54" s="28"/>
      <x:c r="O54" s="28"/>
      <x:c r="P54" s="28"/>
      <x:c r="Q54" s="28"/>
      <x:c r="R54" s="28"/>
      <x:c r="S54" s="31"/>
      <x:c r="T54" s="31"/>
      <x:c r="U54" s="31"/>
      <x:c r="V54" s="28"/>
    </x:row>
    <x:row r="55">
      <x:c r="A55" s="28"/>
      <x:c r="B55" s="28"/>
      <x:c r="C55" s="28"/>
      <x:c r="D55" s="28"/>
      <x:c r="E55" s="28"/>
      <x:c r="F55" s="28"/>
      <x:c r="G55" s="28"/>
      <x:c r="H55" s="28"/>
      <x:c r="I55" s="29"/>
      <x:c r="J55" s="29"/>
      <x:c r="K55" s="28"/>
      <x:c r="L55" s="30"/>
      <x:c r="M55" s="30"/>
      <x:c r="N55" s="28"/>
      <x:c r="O55" s="28"/>
      <x:c r="P55" s="28"/>
      <x:c r="Q55" s="28"/>
      <x:c r="R55" s="28"/>
      <x:c r="S55" s="31"/>
      <x:c r="T55" s="31"/>
      <x:c r="U55" s="31"/>
      <x:c r="V55" s="28"/>
    </x:row>
    <x:row r="56">
      <x:c r="A56" s="28"/>
      <x:c r="B56" s="28"/>
      <x:c r="C56" s="28"/>
      <x:c r="D56" s="28"/>
      <x:c r="E56" s="28"/>
      <x:c r="F56" s="28"/>
      <x:c r="G56" s="28"/>
      <x:c r="H56" s="28"/>
      <x:c r="I56" s="29"/>
      <x:c r="J56" s="29"/>
      <x:c r="K56" s="28"/>
      <x:c r="L56" s="30"/>
      <x:c r="M56" s="30"/>
      <x:c r="N56" s="28"/>
      <x:c r="O56" s="28"/>
      <x:c r="P56" s="28"/>
      <x:c r="Q56" s="28"/>
      <x:c r="R56" s="28"/>
      <x:c r="S56" s="31"/>
      <x:c r="T56" s="31"/>
      <x:c r="U56" s="31"/>
      <x:c r="V56" s="28"/>
    </x:row>
    <x:row r="57">
      <x:c r="A57" s="28"/>
      <x:c r="B57" s="28"/>
      <x:c r="C57" s="28"/>
      <x:c r="D57" s="28"/>
      <x:c r="E57" s="28"/>
      <x:c r="F57" s="28"/>
      <x:c r="G57" s="28"/>
      <x:c r="H57" s="28"/>
      <x:c r="I57" s="29"/>
      <x:c r="J57" s="29"/>
      <x:c r="K57" s="28"/>
      <x:c r="L57" s="30"/>
      <x:c r="M57" s="30"/>
      <x:c r="N57" s="28"/>
      <x:c r="O57" s="28"/>
      <x:c r="P57" s="28"/>
      <x:c r="Q57" s="28"/>
      <x:c r="R57" s="28"/>
      <x:c r="S57" s="31"/>
      <x:c r="T57" s="31"/>
      <x:c r="U57" s="31"/>
      <x:c r="V57" s="28"/>
    </x:row>
    <x:row r="58">
      <x:c r="A58" s="28"/>
      <x:c r="B58" s="28"/>
      <x:c r="C58" s="28"/>
      <x:c r="D58" s="28"/>
      <x:c r="E58" s="28"/>
      <x:c r="F58" s="28"/>
      <x:c r="G58" s="28"/>
      <x:c r="H58" s="28"/>
      <x:c r="I58" s="29"/>
      <x:c r="J58" s="29"/>
      <x:c r="K58" s="28"/>
      <x:c r="L58" s="30"/>
      <x:c r="M58" s="30"/>
      <x:c r="N58" s="28"/>
      <x:c r="O58" s="28"/>
      <x:c r="P58" s="28"/>
      <x:c r="Q58" s="28"/>
      <x:c r="R58" s="28"/>
      <x:c r="S58" s="31"/>
      <x:c r="T58" s="31"/>
      <x:c r="U58" s="31"/>
      <x:c r="V58" s="28"/>
    </x:row>
    <x:row r="59">
      <x:c r="A59" s="28"/>
      <x:c r="B59" s="28"/>
      <x:c r="C59" s="28"/>
      <x:c r="D59" s="28"/>
      <x:c r="E59" s="28"/>
      <x:c r="F59" s="28"/>
      <x:c r="G59" s="28"/>
      <x:c r="H59" s="28"/>
      <x:c r="I59" s="29"/>
      <x:c r="J59" s="29"/>
      <x:c r="K59" s="28"/>
      <x:c r="L59" s="30"/>
      <x:c r="M59" s="30"/>
      <x:c r="N59" s="28"/>
      <x:c r="O59" s="28"/>
      <x:c r="P59" s="28"/>
      <x:c r="Q59" s="28"/>
      <x:c r="R59" s="28"/>
      <x:c r="S59" s="31"/>
      <x:c r="T59" s="31"/>
      <x:c r="U59" s="31"/>
      <x:c r="V59" s="28"/>
    </x:row>
    <x:row r="60">
      <x:c r="A60" s="28"/>
      <x:c r="B60" s="28"/>
      <x:c r="C60" s="28"/>
      <x:c r="D60" s="28"/>
      <x:c r="E60" s="28"/>
      <x:c r="F60" s="28"/>
      <x:c r="G60" s="28"/>
      <x:c r="H60" s="28"/>
      <x:c r="I60" s="29"/>
      <x:c r="J60" s="29"/>
      <x:c r="K60" s="28"/>
      <x:c r="L60" s="30"/>
      <x:c r="M60" s="30"/>
      <x:c r="N60" s="28"/>
      <x:c r="O60" s="28"/>
      <x:c r="P60" s="28"/>
      <x:c r="Q60" s="28"/>
      <x:c r="R60" s="28"/>
      <x:c r="S60" s="31"/>
      <x:c r="T60" s="31"/>
      <x:c r="U60" s="31"/>
      <x:c r="V60" s="28"/>
    </x:row>
    <x:row r="61">
      <x:c r="A61" s="28"/>
      <x:c r="B61" s="28"/>
      <x:c r="C61" s="28"/>
      <x:c r="D61" s="28"/>
      <x:c r="E61" s="28"/>
      <x:c r="F61" s="28"/>
      <x:c r="G61" s="28"/>
      <x:c r="H61" s="28"/>
      <x:c r="I61" s="29"/>
      <x:c r="J61" s="29"/>
      <x:c r="K61" s="28"/>
      <x:c r="L61" s="30"/>
      <x:c r="M61" s="30"/>
      <x:c r="N61" s="28"/>
      <x:c r="O61" s="28"/>
      <x:c r="P61" s="28"/>
      <x:c r="Q61" s="28"/>
      <x:c r="R61" s="28"/>
      <x:c r="S61" s="31"/>
      <x:c r="T61" s="31"/>
      <x:c r="U61" s="31"/>
      <x:c r="V61" s="28"/>
    </x:row>
    <x:row r="62">
      <x:c r="A62" s="28"/>
      <x:c r="B62" s="28"/>
      <x:c r="C62" s="28"/>
      <x:c r="D62" s="28"/>
      <x:c r="E62" s="28"/>
      <x:c r="F62" s="28"/>
      <x:c r="G62" s="28"/>
      <x:c r="H62" s="28"/>
      <x:c r="I62" s="29"/>
      <x:c r="J62" s="29"/>
      <x:c r="K62" s="28"/>
      <x:c r="L62" s="30"/>
      <x:c r="M62" s="30"/>
      <x:c r="N62" s="28"/>
      <x:c r="O62" s="28"/>
      <x:c r="P62" s="28"/>
      <x:c r="Q62" s="28"/>
      <x:c r="R62" s="28"/>
      <x:c r="S62" s="31"/>
      <x:c r="T62" s="31"/>
      <x:c r="U62" s="31"/>
      <x:c r="V62" s="28"/>
    </x:row>
    <x:row r="63">
      <x:c r="A63" s="28"/>
      <x:c r="B63" s="28"/>
      <x:c r="C63" s="28"/>
      <x:c r="D63" s="28"/>
      <x:c r="E63" s="28"/>
      <x:c r="F63" s="28"/>
      <x:c r="G63" s="28"/>
      <x:c r="H63" s="28"/>
      <x:c r="I63" s="29"/>
      <x:c r="J63" s="29"/>
      <x:c r="K63" s="28"/>
      <x:c r="L63" s="30"/>
      <x:c r="M63" s="30"/>
      <x:c r="N63" s="28"/>
      <x:c r="O63" s="28"/>
      <x:c r="P63" s="28"/>
      <x:c r="Q63" s="28"/>
      <x:c r="R63" s="28"/>
      <x:c r="S63" s="31"/>
      <x:c r="T63" s="31"/>
      <x:c r="U63" s="31"/>
      <x:c r="V63" s="28"/>
    </x:row>
    <x:row r="64">
      <x:c r="A64" s="28"/>
      <x:c r="B64" s="28"/>
      <x:c r="C64" s="28"/>
      <x:c r="D64" s="28"/>
      <x:c r="E64" s="28"/>
      <x:c r="F64" s="28"/>
      <x:c r="G64" s="28"/>
      <x:c r="H64" s="28"/>
      <x:c r="I64" s="29"/>
      <x:c r="J64" s="29"/>
      <x:c r="K64" s="28"/>
      <x:c r="L64" s="30"/>
      <x:c r="M64" s="30"/>
      <x:c r="N64" s="28"/>
      <x:c r="O64" s="28"/>
      <x:c r="P64" s="28"/>
      <x:c r="Q64" s="28"/>
      <x:c r="R64" s="28"/>
      <x:c r="S64" s="31"/>
      <x:c r="T64" s="31"/>
      <x:c r="U64" s="31"/>
      <x:c r="V64" s="28"/>
    </x:row>
    <x:row r="65">
      <x:c r="A65" s="28"/>
      <x:c r="B65" s="28"/>
      <x:c r="C65" s="28"/>
      <x:c r="D65" s="28"/>
      <x:c r="E65" s="28"/>
      <x:c r="F65" s="28"/>
      <x:c r="G65" s="28"/>
      <x:c r="H65" s="28"/>
      <x:c r="I65" s="29"/>
      <x:c r="J65" s="29"/>
      <x:c r="K65" s="28"/>
      <x:c r="L65" s="30"/>
      <x:c r="M65" s="30"/>
      <x:c r="N65" s="28"/>
      <x:c r="O65" s="28"/>
      <x:c r="P65" s="28"/>
      <x:c r="Q65" s="28"/>
      <x:c r="R65" s="28"/>
      <x:c r="S65" s="31"/>
      <x:c r="T65" s="31"/>
      <x:c r="U65" s="31"/>
      <x:c r="V65" s="28"/>
    </x:row>
    <x:row r="66">
      <x:c r="A66" s="28"/>
      <x:c r="B66" s="28"/>
      <x:c r="C66" s="28"/>
      <x:c r="D66" s="28"/>
      <x:c r="E66" s="28"/>
      <x:c r="F66" s="28"/>
      <x:c r="G66" s="28"/>
      <x:c r="H66" s="28"/>
      <x:c r="I66" s="29"/>
      <x:c r="J66" s="29"/>
      <x:c r="K66" s="28"/>
      <x:c r="L66" s="30"/>
      <x:c r="M66" s="30"/>
      <x:c r="N66" s="28"/>
      <x:c r="O66" s="28"/>
      <x:c r="P66" s="28"/>
      <x:c r="Q66" s="28"/>
      <x:c r="R66" s="28"/>
      <x:c r="S66" s="31"/>
      <x:c r="T66" s="31"/>
      <x:c r="U66" s="31"/>
      <x:c r="V66" s="28"/>
    </x:row>
    <x:row r="67">
      <x:c r="A67" s="28"/>
      <x:c r="B67" s="28"/>
      <x:c r="C67" s="28"/>
      <x:c r="D67" s="28"/>
      <x:c r="E67" s="28"/>
      <x:c r="F67" s="28"/>
      <x:c r="G67" s="28"/>
      <x:c r="H67" s="28"/>
      <x:c r="I67" s="29"/>
      <x:c r="J67" s="29"/>
      <x:c r="K67" s="28"/>
      <x:c r="L67" s="30"/>
      <x:c r="M67" s="30"/>
      <x:c r="N67" s="28"/>
      <x:c r="O67" s="28"/>
      <x:c r="P67" s="28"/>
      <x:c r="Q67" s="28"/>
      <x:c r="R67" s="28"/>
      <x:c r="S67" s="31"/>
      <x:c r="T67" s="31"/>
      <x:c r="U67" s="31"/>
      <x:c r="V67" s="28"/>
    </x:row>
    <x:row r="68">
      <x:c r="A68" s="28"/>
      <x:c r="B68" s="28"/>
      <x:c r="C68" s="28"/>
      <x:c r="D68" s="28"/>
      <x:c r="E68" s="28"/>
      <x:c r="F68" s="28"/>
      <x:c r="G68" s="28"/>
      <x:c r="H68" s="28"/>
      <x:c r="I68" s="29"/>
      <x:c r="J68" s="29"/>
      <x:c r="K68" s="28"/>
      <x:c r="L68" s="30"/>
      <x:c r="M68" s="30"/>
      <x:c r="N68" s="28"/>
      <x:c r="O68" s="28"/>
      <x:c r="P68" s="28"/>
      <x:c r="Q68" s="28"/>
      <x:c r="R68" s="28"/>
      <x:c r="S68" s="31"/>
      <x:c r="T68" s="31"/>
      <x:c r="U68" s="31"/>
      <x:c r="V68" s="28"/>
    </x:row>
    <x:row r="69">
      <x:c r="A69" s="28"/>
      <x:c r="B69" s="28"/>
      <x:c r="C69" s="28"/>
      <x:c r="D69" s="28"/>
      <x:c r="E69" s="28"/>
      <x:c r="F69" s="28"/>
      <x:c r="G69" s="28"/>
      <x:c r="H69" s="28"/>
      <x:c r="I69" s="29"/>
      <x:c r="J69" s="29"/>
      <x:c r="K69" s="28"/>
      <x:c r="L69" s="30"/>
      <x:c r="M69" s="30"/>
      <x:c r="N69" s="28"/>
      <x:c r="O69" s="28"/>
      <x:c r="P69" s="28"/>
      <x:c r="Q69" s="28"/>
      <x:c r="R69" s="28"/>
      <x:c r="S69" s="31"/>
      <x:c r="T69" s="31"/>
      <x:c r="U69" s="31"/>
      <x:c r="V69" s="28"/>
    </x:row>
    <x:row r="70">
      <x:c r="A70" s="28"/>
      <x:c r="B70" s="28"/>
      <x:c r="C70" s="28"/>
      <x:c r="D70" s="28"/>
      <x:c r="E70" s="28"/>
      <x:c r="F70" s="28"/>
      <x:c r="G70" s="28"/>
      <x:c r="H70" s="28"/>
      <x:c r="I70" s="29"/>
      <x:c r="J70" s="29"/>
      <x:c r="K70" s="28"/>
      <x:c r="L70" s="30"/>
      <x:c r="M70" s="30"/>
      <x:c r="N70" s="28"/>
      <x:c r="O70" s="28"/>
      <x:c r="P70" s="28"/>
      <x:c r="Q70" s="28"/>
      <x:c r="R70" s="28"/>
      <x:c r="S70" s="31"/>
      <x:c r="T70" s="31"/>
      <x:c r="U70" s="31"/>
      <x:c r="V70" s="28"/>
    </x:row>
    <x:row r="71">
      <x:c r="A71" s="28"/>
      <x:c r="B71" s="28"/>
      <x:c r="C71" s="28"/>
      <x:c r="D71" s="28"/>
      <x:c r="E71" s="28"/>
      <x:c r="F71" s="28"/>
      <x:c r="G71" s="28"/>
      <x:c r="H71" s="28"/>
      <x:c r="I71" s="29"/>
      <x:c r="J71" s="29"/>
      <x:c r="K71" s="28"/>
      <x:c r="L71" s="30"/>
      <x:c r="M71" s="30"/>
      <x:c r="N71" s="28"/>
      <x:c r="O71" s="28"/>
      <x:c r="P71" s="28"/>
      <x:c r="Q71" s="28"/>
      <x:c r="R71" s="28"/>
      <x:c r="S71" s="31"/>
      <x:c r="T71" s="31"/>
      <x:c r="U71" s="31"/>
      <x:c r="V71" s="28"/>
    </x:row>
    <x:row r="72">
      <x:c r="A72" s="28"/>
      <x:c r="B72" s="28"/>
      <x:c r="C72" s="28"/>
      <x:c r="D72" s="28"/>
      <x:c r="E72" s="28"/>
      <x:c r="F72" s="28"/>
      <x:c r="G72" s="28"/>
      <x:c r="H72" s="28"/>
      <x:c r="I72" s="29"/>
      <x:c r="J72" s="29"/>
      <x:c r="K72" s="28"/>
      <x:c r="L72" s="30"/>
      <x:c r="M72" s="30"/>
      <x:c r="N72" s="28"/>
      <x:c r="O72" s="28"/>
      <x:c r="P72" s="28"/>
      <x:c r="Q72" s="28"/>
      <x:c r="R72" s="28"/>
      <x:c r="S72" s="31"/>
      <x:c r="T72" s="31"/>
      <x:c r="U72" s="31"/>
      <x:c r="V72" s="28"/>
    </x:row>
    <x:row r="73">
      <x:c r="A73" s="28"/>
      <x:c r="B73" s="28"/>
      <x:c r="C73" s="28"/>
      <x:c r="D73" s="28"/>
      <x:c r="E73" s="28"/>
      <x:c r="F73" s="28"/>
      <x:c r="G73" s="28"/>
      <x:c r="H73" s="28"/>
      <x:c r="I73" s="29"/>
      <x:c r="J73" s="29"/>
      <x:c r="K73" s="28"/>
      <x:c r="L73" s="30"/>
      <x:c r="M73" s="30"/>
      <x:c r="N73" s="28"/>
      <x:c r="O73" s="28"/>
      <x:c r="P73" s="28"/>
      <x:c r="Q73" s="28"/>
      <x:c r="R73" s="28"/>
      <x:c r="S73" s="31"/>
      <x:c r="T73" s="31"/>
      <x:c r="U73" s="31"/>
      <x:c r="V73" s="28"/>
    </x:row>
    <x:row r="74">
      <x:c r="A74" s="28"/>
      <x:c r="B74" s="28"/>
      <x:c r="C74" s="28"/>
      <x:c r="D74" s="28"/>
      <x:c r="E74" s="28"/>
      <x:c r="F74" s="28"/>
      <x:c r="G74" s="28"/>
      <x:c r="H74" s="28"/>
      <x:c r="I74" s="29"/>
      <x:c r="J74" s="29"/>
      <x:c r="K74" s="28"/>
      <x:c r="L74" s="30"/>
      <x:c r="M74" s="30"/>
      <x:c r="N74" s="28"/>
      <x:c r="O74" s="28"/>
      <x:c r="P74" s="28"/>
      <x:c r="Q74" s="28"/>
      <x:c r="R74" s="28"/>
      <x:c r="S74" s="31"/>
      <x:c r="T74" s="31"/>
      <x:c r="U74" s="31"/>
      <x:c r="V74" s="28"/>
    </x:row>
    <x:row r="75">
      <x:c r="A75" s="28"/>
      <x:c r="B75" s="28"/>
      <x:c r="C75" s="28"/>
      <x:c r="D75" s="28"/>
      <x:c r="E75" s="28"/>
      <x:c r="F75" s="28"/>
      <x:c r="G75" s="28"/>
      <x:c r="H75" s="28"/>
      <x:c r="I75" s="29"/>
      <x:c r="J75" s="29"/>
      <x:c r="K75" s="28"/>
      <x:c r="L75" s="30"/>
      <x:c r="M75" s="30"/>
      <x:c r="N75" s="28"/>
      <x:c r="O75" s="28"/>
      <x:c r="P75" s="28"/>
      <x:c r="Q75" s="28"/>
      <x:c r="R75" s="28"/>
      <x:c r="S75" s="31"/>
      <x:c r="T75" s="31"/>
      <x:c r="U75" s="31"/>
      <x:c r="V75" s="28"/>
    </x:row>
    <x:row r="76">
      <x:c r="A76" s="28"/>
      <x:c r="B76" s="28"/>
      <x:c r="C76" s="28"/>
      <x:c r="D76" s="28"/>
      <x:c r="E76" s="28"/>
      <x:c r="F76" s="28"/>
      <x:c r="G76" s="28"/>
      <x:c r="H76" s="28"/>
      <x:c r="I76" s="29"/>
      <x:c r="J76" s="29"/>
      <x:c r="K76" s="28"/>
      <x:c r="L76" s="30"/>
      <x:c r="M76" s="30"/>
      <x:c r="N76" s="28"/>
      <x:c r="O76" s="28"/>
      <x:c r="P76" s="28"/>
      <x:c r="Q76" s="28"/>
      <x:c r="R76" s="28"/>
      <x:c r="S76" s="31"/>
      <x:c r="T76" s="31"/>
      <x:c r="U76" s="31"/>
      <x:c r="V76" s="28"/>
    </x:row>
    <x:row r="77">
      <x:c r="A77" s="28"/>
      <x:c r="B77" s="28"/>
      <x:c r="C77" s="28"/>
      <x:c r="D77" s="28"/>
      <x:c r="E77" s="28"/>
      <x:c r="F77" s="28"/>
      <x:c r="G77" s="28"/>
      <x:c r="H77" s="28"/>
      <x:c r="I77" s="29"/>
      <x:c r="J77" s="29"/>
      <x:c r="K77" s="28"/>
      <x:c r="L77" s="30"/>
      <x:c r="M77" s="30"/>
      <x:c r="N77" s="28"/>
      <x:c r="O77" s="28"/>
      <x:c r="P77" s="28"/>
      <x:c r="Q77" s="28"/>
      <x:c r="R77" s="28"/>
      <x:c r="S77" s="31"/>
      <x:c r="T77" s="31"/>
      <x:c r="U77" s="31"/>
      <x:c r="V77" s="28"/>
    </x:row>
    <x:row r="78">
      <x:c r="A78" s="28"/>
      <x:c r="B78" s="28"/>
      <x:c r="C78" s="28"/>
      <x:c r="D78" s="28"/>
      <x:c r="E78" s="28"/>
      <x:c r="F78" s="28"/>
      <x:c r="G78" s="28"/>
      <x:c r="H78" s="28"/>
      <x:c r="I78" s="29"/>
      <x:c r="J78" s="29"/>
      <x:c r="K78" s="28"/>
      <x:c r="L78" s="30"/>
      <x:c r="M78" s="30"/>
      <x:c r="N78" s="28"/>
      <x:c r="O78" s="28"/>
      <x:c r="P78" s="28"/>
      <x:c r="Q78" s="28"/>
      <x:c r="R78" s="28"/>
      <x:c r="S78" s="31"/>
      <x:c r="T78" s="31"/>
      <x:c r="U78" s="31"/>
      <x:c r="V78" s="28"/>
    </x:row>
    <x:row r="79">
      <x:c r="A79" s="28"/>
      <x:c r="B79" s="28"/>
      <x:c r="C79" s="28"/>
      <x:c r="D79" s="28"/>
      <x:c r="E79" s="28"/>
      <x:c r="F79" s="28"/>
      <x:c r="G79" s="28"/>
      <x:c r="H79" s="28"/>
      <x:c r="I79" s="29"/>
      <x:c r="J79" s="29"/>
      <x:c r="K79" s="28"/>
      <x:c r="L79" s="30"/>
      <x:c r="M79" s="30"/>
      <x:c r="N79" s="28"/>
      <x:c r="O79" s="28"/>
      <x:c r="P79" s="28"/>
      <x:c r="Q79" s="28"/>
      <x:c r="R79" s="28"/>
      <x:c r="S79" s="31"/>
      <x:c r="T79" s="31"/>
      <x:c r="U79" s="31"/>
      <x:c r="V79" s="28"/>
    </x:row>
    <x:row r="80">
      <x:c r="A80" s="28"/>
      <x:c r="B80" s="28"/>
      <x:c r="C80" s="28"/>
      <x:c r="D80" s="28"/>
      <x:c r="E80" s="28"/>
      <x:c r="F80" s="28"/>
      <x:c r="G80" s="28"/>
      <x:c r="H80" s="28"/>
      <x:c r="I80" s="29"/>
      <x:c r="J80" s="29"/>
      <x:c r="K80" s="28"/>
      <x:c r="L80" s="30"/>
      <x:c r="M80" s="30"/>
      <x:c r="N80" s="28"/>
      <x:c r="O80" s="28"/>
      <x:c r="P80" s="28"/>
      <x:c r="Q80" s="28"/>
      <x:c r="R80" s="28"/>
      <x:c r="S80" s="31"/>
      <x:c r="T80" s="31"/>
      <x:c r="U80" s="31"/>
      <x:c r="V80" s="28"/>
    </x:row>
    <x:row r="81">
      <x:c r="A81" s="28"/>
      <x:c r="B81" s="28"/>
      <x:c r="C81" s="28"/>
      <x:c r="D81" s="28"/>
      <x:c r="E81" s="28"/>
      <x:c r="F81" s="28"/>
      <x:c r="G81" s="28"/>
      <x:c r="H81" s="28"/>
      <x:c r="I81" s="29"/>
      <x:c r="J81" s="29"/>
      <x:c r="K81" s="28"/>
      <x:c r="L81" s="30"/>
      <x:c r="M81" s="30"/>
      <x:c r="N81" s="28"/>
      <x:c r="O81" s="28"/>
      <x:c r="P81" s="28"/>
      <x:c r="Q81" s="28"/>
      <x:c r="R81" s="28"/>
      <x:c r="S81" s="31"/>
      <x:c r="T81" s="31"/>
      <x:c r="U81" s="31"/>
      <x:c r="V81" s="28"/>
    </x:row>
    <x:row r="82">
      <x:c r="A82" s="28"/>
      <x:c r="B82" s="28"/>
      <x:c r="C82" s="28"/>
      <x:c r="D82" s="28"/>
      <x:c r="E82" s="28"/>
      <x:c r="F82" s="28"/>
      <x:c r="G82" s="28"/>
      <x:c r="H82" s="28"/>
      <x:c r="I82" s="29"/>
      <x:c r="J82" s="29"/>
      <x:c r="K82" s="28"/>
      <x:c r="L82" s="30"/>
      <x:c r="M82" s="30"/>
      <x:c r="N82" s="28"/>
      <x:c r="O82" s="28"/>
      <x:c r="P82" s="28"/>
      <x:c r="Q82" s="28"/>
      <x:c r="R82" s="28"/>
      <x:c r="S82" s="31"/>
      <x:c r="T82" s="31"/>
      <x:c r="U82" s="31"/>
      <x:c r="V82" s="28"/>
    </x:row>
    <x:row r="83">
      <x:c r="A83" s="28"/>
      <x:c r="B83" s="28"/>
      <x:c r="C83" s="28"/>
      <x:c r="D83" s="28"/>
      <x:c r="E83" s="28"/>
      <x:c r="F83" s="28"/>
      <x:c r="G83" s="28"/>
      <x:c r="H83" s="28"/>
      <x:c r="I83" s="29"/>
      <x:c r="J83" s="29"/>
      <x:c r="K83" s="28"/>
      <x:c r="L83" s="30"/>
      <x:c r="M83" s="30"/>
      <x:c r="N83" s="28"/>
      <x:c r="O83" s="28"/>
      <x:c r="P83" s="28"/>
      <x:c r="Q83" s="28"/>
      <x:c r="R83" s="28"/>
      <x:c r="S83" s="31"/>
      <x:c r="T83" s="31"/>
      <x:c r="U83" s="31"/>
      <x:c r="V83" s="28"/>
    </x:row>
    <x:row r="84">
      <x:c r="A84" s="28"/>
      <x:c r="B84" s="28"/>
      <x:c r="C84" s="28"/>
      <x:c r="D84" s="28"/>
      <x:c r="E84" s="28"/>
      <x:c r="F84" s="28"/>
      <x:c r="G84" s="28"/>
      <x:c r="H84" s="28"/>
      <x:c r="I84" s="29"/>
      <x:c r="J84" s="29"/>
      <x:c r="K84" s="28"/>
      <x:c r="L84" s="30"/>
      <x:c r="M84" s="30"/>
      <x:c r="N84" s="28"/>
      <x:c r="O84" s="28"/>
      <x:c r="P84" s="28"/>
      <x:c r="Q84" s="28"/>
      <x:c r="R84" s="28"/>
      <x:c r="S84" s="31"/>
      <x:c r="T84" s="31"/>
      <x:c r="U84" s="31"/>
      <x:c r="V84" s="28"/>
    </x:row>
    <x:row r="85">
      <x:c r="A85" s="28"/>
      <x:c r="B85" s="28"/>
      <x:c r="C85" s="28"/>
      <x:c r="D85" s="28"/>
      <x:c r="E85" s="28"/>
      <x:c r="F85" s="28"/>
      <x:c r="G85" s="28"/>
      <x:c r="H85" s="28"/>
      <x:c r="I85" s="29"/>
      <x:c r="J85" s="29"/>
      <x:c r="K85" s="28"/>
      <x:c r="L85" s="30"/>
      <x:c r="M85" s="30"/>
      <x:c r="N85" s="28"/>
      <x:c r="O85" s="28"/>
      <x:c r="P85" s="28"/>
      <x:c r="Q85" s="28"/>
      <x:c r="R85" s="28"/>
      <x:c r="S85" s="31"/>
      <x:c r="T85" s="31"/>
      <x:c r="U85" s="31"/>
      <x:c r="V85" s="28"/>
    </x:row>
    <x:row r="86">
      <x:c r="A86" s="28"/>
      <x:c r="B86" s="28"/>
      <x:c r="C86" s="28"/>
      <x:c r="D86" s="28"/>
      <x:c r="E86" s="28"/>
      <x:c r="F86" s="28"/>
      <x:c r="G86" s="28"/>
      <x:c r="H86" s="28"/>
      <x:c r="I86" s="29"/>
      <x:c r="J86" s="29"/>
      <x:c r="K86" s="28"/>
      <x:c r="L86" s="30"/>
      <x:c r="M86" s="30"/>
      <x:c r="N86" s="28"/>
      <x:c r="O86" s="28"/>
      <x:c r="P86" s="28"/>
      <x:c r="Q86" s="28"/>
      <x:c r="R86" s="28"/>
      <x:c r="S86" s="31"/>
      <x:c r="T86" s="31"/>
      <x:c r="U86" s="31"/>
      <x:c r="V86" s="28"/>
    </x:row>
    <x:row r="87">
      <x:c r="A87" s="28"/>
      <x:c r="B87" s="28"/>
      <x:c r="C87" s="28"/>
      <x:c r="D87" s="28"/>
      <x:c r="E87" s="28"/>
      <x:c r="F87" s="28"/>
      <x:c r="G87" s="28"/>
      <x:c r="H87" s="28"/>
      <x:c r="I87" s="29"/>
      <x:c r="J87" s="29"/>
      <x:c r="K87" s="28"/>
      <x:c r="L87" s="30"/>
      <x:c r="M87" s="30"/>
      <x:c r="N87" s="28"/>
      <x:c r="O87" s="28"/>
      <x:c r="P87" s="28"/>
      <x:c r="Q87" s="28"/>
      <x:c r="R87" s="28"/>
      <x:c r="S87" s="31"/>
      <x:c r="T87" s="31"/>
      <x:c r="U87" s="31"/>
      <x:c r="V87" s="28"/>
    </x:row>
    <x:row r="88">
      <x:c r="A88" s="28"/>
      <x:c r="B88" s="28"/>
      <x:c r="C88" s="28"/>
      <x:c r="D88" s="28"/>
      <x:c r="E88" s="28"/>
      <x:c r="F88" s="28"/>
      <x:c r="G88" s="28"/>
      <x:c r="H88" s="28"/>
      <x:c r="I88" s="29"/>
      <x:c r="J88" s="29"/>
      <x:c r="K88" s="28"/>
      <x:c r="L88" s="30"/>
      <x:c r="M88" s="30"/>
      <x:c r="N88" s="28"/>
      <x:c r="O88" s="28"/>
      <x:c r="P88" s="28"/>
      <x:c r="Q88" s="28"/>
      <x:c r="R88" s="28"/>
      <x:c r="S88" s="31"/>
      <x:c r="T88" s="31"/>
      <x:c r="U88" s="31"/>
      <x:c r="V88" s="28"/>
    </x:row>
    <x:row r="89">
      <x:c r="A89" s="28"/>
      <x:c r="B89" s="28"/>
      <x:c r="C89" s="28"/>
      <x:c r="D89" s="28"/>
      <x:c r="E89" s="28"/>
      <x:c r="F89" s="28"/>
      <x:c r="G89" s="28"/>
      <x:c r="H89" s="28"/>
      <x:c r="I89" s="29"/>
      <x:c r="J89" s="29"/>
      <x:c r="K89" s="28"/>
      <x:c r="L89" s="30"/>
      <x:c r="M89" s="30"/>
      <x:c r="N89" s="28"/>
      <x:c r="O89" s="28"/>
      <x:c r="P89" s="28"/>
      <x:c r="Q89" s="28"/>
      <x:c r="R89" s="28"/>
      <x:c r="S89" s="31"/>
      <x:c r="T89" s="31"/>
      <x:c r="U89" s="31"/>
      <x:c r="V89" s="28"/>
    </x:row>
    <x:row r="90">
      <x:c r="A90" s="28"/>
      <x:c r="B90" s="28"/>
      <x:c r="C90" s="28"/>
      <x:c r="D90" s="28"/>
      <x:c r="E90" s="28"/>
      <x:c r="F90" s="28"/>
      <x:c r="G90" s="28"/>
      <x:c r="H90" s="28"/>
      <x:c r="I90" s="29"/>
      <x:c r="J90" s="29"/>
      <x:c r="K90" s="28"/>
      <x:c r="L90" s="30"/>
      <x:c r="M90" s="30"/>
      <x:c r="N90" s="28"/>
      <x:c r="O90" s="28"/>
      <x:c r="P90" s="28"/>
      <x:c r="Q90" s="28"/>
      <x:c r="R90" s="28"/>
      <x:c r="S90" s="31"/>
      <x:c r="T90" s="31"/>
      <x:c r="U90" s="31"/>
      <x:c r="V90" s="28"/>
    </x:row>
    <x:row r="91">
      <x:c r="A91" s="28"/>
      <x:c r="B91" s="28"/>
      <x:c r="C91" s="28"/>
      <x:c r="D91" s="28"/>
      <x:c r="E91" s="28"/>
      <x:c r="F91" s="28"/>
      <x:c r="G91" s="28"/>
      <x:c r="H91" s="28"/>
      <x:c r="I91" s="29"/>
      <x:c r="J91" s="29"/>
      <x:c r="K91" s="28"/>
      <x:c r="L91" s="30"/>
      <x:c r="M91" s="30"/>
      <x:c r="N91" s="28"/>
      <x:c r="O91" s="28"/>
      <x:c r="P91" s="28"/>
      <x:c r="Q91" s="28"/>
      <x:c r="R91" s="28"/>
      <x:c r="S91" s="31"/>
      <x:c r="T91" s="31"/>
      <x:c r="U91" s="31"/>
      <x:c r="V91" s="28"/>
    </x:row>
    <x:row r="92">
      <x:c r="A92" s="28"/>
      <x:c r="B92" s="28"/>
      <x:c r="C92" s="28"/>
      <x:c r="D92" s="28"/>
      <x:c r="E92" s="28"/>
      <x:c r="F92" s="28"/>
      <x:c r="G92" s="28"/>
      <x:c r="H92" s="28"/>
      <x:c r="I92" s="29"/>
      <x:c r="J92" s="29"/>
      <x:c r="K92" s="28"/>
      <x:c r="L92" s="30"/>
      <x:c r="M92" s="30"/>
      <x:c r="N92" s="28"/>
      <x:c r="O92" s="28"/>
      <x:c r="P92" s="28"/>
      <x:c r="Q92" s="28"/>
      <x:c r="R92" s="28"/>
      <x:c r="S92" s="31"/>
      <x:c r="T92" s="31"/>
      <x:c r="U92" s="31"/>
      <x:c r="V92" s="28"/>
    </x:row>
    <x:row r="93">
      <x:c r="A93" s="28"/>
      <x:c r="B93" s="28"/>
      <x:c r="C93" s="28"/>
      <x:c r="D93" s="28"/>
      <x:c r="E93" s="28"/>
      <x:c r="F93" s="28"/>
      <x:c r="G93" s="28"/>
      <x:c r="H93" s="28"/>
      <x:c r="I93" s="29"/>
      <x:c r="J93" s="29"/>
      <x:c r="K93" s="28"/>
      <x:c r="L93" s="30"/>
      <x:c r="M93" s="30"/>
      <x:c r="N93" s="28"/>
      <x:c r="O93" s="28"/>
      <x:c r="P93" s="28"/>
      <x:c r="Q93" s="28"/>
      <x:c r="R93" s="28"/>
      <x:c r="S93" s="31"/>
      <x:c r="T93" s="31"/>
      <x:c r="U93" s="31"/>
      <x:c r="V93" s="28"/>
    </x:row>
    <x:row r="94">
      <x:c r="A94" s="28"/>
      <x:c r="B94" s="28"/>
      <x:c r="C94" s="28"/>
      <x:c r="D94" s="28"/>
      <x:c r="E94" s="28"/>
      <x:c r="F94" s="28"/>
      <x:c r="G94" s="28"/>
      <x:c r="H94" s="28"/>
      <x:c r="I94" s="29"/>
      <x:c r="J94" s="29"/>
      <x:c r="K94" s="28"/>
      <x:c r="L94" s="30"/>
      <x:c r="M94" s="30"/>
      <x:c r="N94" s="28"/>
      <x:c r="O94" s="28"/>
      <x:c r="P94" s="28"/>
      <x:c r="Q94" s="28"/>
      <x:c r="R94" s="28"/>
      <x:c r="S94" s="31"/>
      <x:c r="T94" s="31"/>
      <x:c r="U94" s="31"/>
      <x:c r="V94" s="28"/>
    </x:row>
    <x:row r="95">
      <x:c r="A95" s="28"/>
      <x:c r="B95" s="28"/>
      <x:c r="C95" s="28"/>
      <x:c r="D95" s="28"/>
      <x:c r="E95" s="28"/>
      <x:c r="F95" s="28"/>
      <x:c r="G95" s="28"/>
      <x:c r="H95" s="28"/>
      <x:c r="I95" s="29"/>
      <x:c r="J95" s="29"/>
      <x:c r="K95" s="28"/>
      <x:c r="L95" s="30"/>
      <x:c r="M95" s="30"/>
      <x:c r="N95" s="28"/>
      <x:c r="O95" s="28"/>
      <x:c r="P95" s="28"/>
      <x:c r="Q95" s="28"/>
      <x:c r="R95" s="28"/>
      <x:c r="S95" s="31"/>
      <x:c r="T95" s="31"/>
      <x:c r="U95" s="31"/>
      <x:c r="V95" s="28"/>
    </x:row>
    <x:row r="96">
      <x:c r="A96" s="28"/>
      <x:c r="B96" s="28"/>
      <x:c r="C96" s="28"/>
      <x:c r="D96" s="28"/>
      <x:c r="E96" s="28"/>
      <x:c r="F96" s="28"/>
      <x:c r="G96" s="28"/>
      <x:c r="H96" s="28"/>
      <x:c r="I96" s="29"/>
      <x:c r="J96" s="29"/>
      <x:c r="K96" s="28"/>
      <x:c r="L96" s="30"/>
      <x:c r="M96" s="30"/>
      <x:c r="N96" s="28"/>
      <x:c r="O96" s="28"/>
      <x:c r="P96" s="28"/>
      <x:c r="Q96" s="28"/>
      <x:c r="R96" s="28"/>
      <x:c r="S96" s="31"/>
      <x:c r="T96" s="31"/>
      <x:c r="U96" s="31"/>
      <x:c r="V96" s="28"/>
    </x:row>
    <x:row r="97">
      <x:c r="A97" s="28"/>
      <x:c r="B97" s="28"/>
      <x:c r="C97" s="28"/>
      <x:c r="D97" s="28"/>
      <x:c r="E97" s="28"/>
      <x:c r="F97" s="28"/>
      <x:c r="G97" s="28"/>
      <x:c r="H97" s="28"/>
      <x:c r="I97" s="29"/>
      <x:c r="J97" s="29"/>
      <x:c r="K97" s="28"/>
      <x:c r="L97" s="30"/>
      <x:c r="M97" s="30"/>
      <x:c r="N97" s="28"/>
      <x:c r="O97" s="28"/>
      <x:c r="P97" s="28"/>
      <x:c r="Q97" s="28"/>
      <x:c r="R97" s="28"/>
      <x:c r="S97" s="31"/>
      <x:c r="T97" s="31"/>
      <x:c r="U97" s="31"/>
      <x:c r="V97" s="28"/>
    </x:row>
    <x:row r="98">
      <x:c r="A98" s="28"/>
      <x:c r="B98" s="28"/>
      <x:c r="C98" s="28"/>
      <x:c r="D98" s="28"/>
      <x:c r="E98" s="28"/>
      <x:c r="F98" s="28"/>
      <x:c r="G98" s="28"/>
      <x:c r="H98" s="28"/>
      <x:c r="I98" s="29"/>
      <x:c r="J98" s="29"/>
      <x:c r="K98" s="28"/>
      <x:c r="L98" s="30"/>
      <x:c r="M98" s="30"/>
      <x:c r="N98" s="28"/>
      <x:c r="O98" s="28"/>
      <x:c r="P98" s="28"/>
      <x:c r="Q98" s="28"/>
      <x:c r="R98" s="28"/>
      <x:c r="S98" s="31"/>
      <x:c r="T98" s="31"/>
      <x:c r="U98" s="31"/>
      <x:c r="V98" s="28"/>
    </x:row>
    <x:row r="99">
      <x:c r="A99" s="28"/>
      <x:c r="B99" s="28"/>
      <x:c r="C99" s="28"/>
      <x:c r="D99" s="28"/>
      <x:c r="E99" s="28"/>
      <x:c r="F99" s="28"/>
      <x:c r="G99" s="28"/>
      <x:c r="H99" s="28"/>
      <x:c r="I99" s="29"/>
      <x:c r="J99" s="29"/>
      <x:c r="K99" s="28"/>
      <x:c r="L99" s="30"/>
      <x:c r="M99" s="30"/>
      <x:c r="N99" s="28"/>
      <x:c r="O99" s="28"/>
      <x:c r="P99" s="28"/>
      <x:c r="Q99" s="28"/>
      <x:c r="R99" s="28"/>
      <x:c r="S99" s="31"/>
      <x:c r="T99" s="31"/>
      <x:c r="U99" s="31"/>
      <x:c r="V99" s="28"/>
    </x:row>
    <x:row r="100">
      <x:c r="A100" s="28"/>
      <x:c r="B100" s="28"/>
      <x:c r="C100" s="28"/>
      <x:c r="D100" s="28"/>
      <x:c r="E100" s="28"/>
      <x:c r="F100" s="28"/>
      <x:c r="G100" s="28"/>
      <x:c r="H100" s="28"/>
      <x:c r="I100" s="29"/>
      <x:c r="J100" s="29"/>
      <x:c r="K100" s="28"/>
      <x:c r="L100" s="30"/>
      <x:c r="M100" s="30"/>
      <x:c r="N100" s="28"/>
      <x:c r="O100" s="28"/>
      <x:c r="P100" s="28"/>
      <x:c r="Q100" s="28"/>
      <x:c r="R100" s="28"/>
      <x:c r="S100" s="31"/>
      <x:c r="T100" s="31"/>
      <x:c r="U100" s="31"/>
      <x:c r="V100" s="28"/>
    </x:row>
    <x:row r="101">
      <x:c r="A101" s="28"/>
      <x:c r="B101" s="28"/>
      <x:c r="C101" s="28"/>
      <x:c r="D101" s="28"/>
      <x:c r="E101" s="28"/>
      <x:c r="F101" s="28"/>
      <x:c r="G101" s="28"/>
      <x:c r="H101" s="28"/>
      <x:c r="I101" s="29"/>
      <x:c r="J101" s="29"/>
      <x:c r="K101" s="28"/>
      <x:c r="L101" s="30"/>
      <x:c r="M101" s="30"/>
      <x:c r="N101" s="28"/>
      <x:c r="O101" s="28"/>
      <x:c r="P101" s="28"/>
      <x:c r="Q101" s="28"/>
      <x:c r="R101" s="28"/>
      <x:c r="S101" s="31"/>
      <x:c r="T101" s="31"/>
      <x:c r="U101" s="31"/>
      <x:c r="V101" s="28"/>
    </x:row>
  </x:sheetData>
  <x:dataValidations count="4">
    <x:dataValidation type="list" showInputMessage="1" promptTitle="Choose a value" prompt="BESS, Solar, Wind, Gas, Hybrid, Transmission, Substation, Interconnection, Other" sqref="C2:C101">
      <x:formula1>"BESS,Solar,Wind,Gas,Hybrid,Transmission,Substation,Interconnection,Other"</x:formula1>
    </x:dataValidation>
    <x:dataValidation type="list" showInputMessage="1" promptTitle="Choose a value" prompt="Queue, Announced, Under Construction, Operating, Cancelled, Unknown" sqref="D2:D101">
      <x:formula1>"Queue,Announced,Under Construction,Operating,Cancelled,Unknown"</x:formula1>
    </x:dataValidation>
    <x:dataValidation type="list" showInputMessage="1" promptTitle="Choose a value" prompt="High, Medium, Low" sqref="Q2:Q101">
      <x:formula1>"High,Medium,Low"</x:formula1>
    </x:dataValidation>
    <x:dataValidation type="list" showInputMessage="1" promptTitle="Choose a value" prompt="Public Grid, Private, Behind-the-Meter, Unknown" sqref="R2:R101">
      <x:formula1>"Public Grid,Private,Behind-the-Meter,Unknown"</x:formula1>
    </x:dataValidation>
  </x:dataValidations>
  <x:pageMargins left="0.7" right="0.7" top="0.75" bottom="0.75" header="0.3" footer="0.3"/>
  <x:tableParts count="1">
    <x:tablePart xmlns:r="http://schemas.openxmlformats.org/officeDocument/2006/relationships" r:id="R5f4c5238ca2448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7.860000610351562" hidden="0" customWidth="1"/>
    <x:col min="3" max="3" width="22.860000610351562" hidden="0" customWidth="1"/>
    <x:col min="4" max="4" width="15.710000038146973" hidden="0" customWidth="1"/>
    <x:col min="5" max="5" width="60.709999084472656" hidden="0" customWidth="1"/>
    <x:col min="6" max="6" width="15" hidden="0" customWidth="1"/>
    <x:col min="7" max="7" width="14.289999961853027" hidden="0" customWidth="1"/>
    <x:col min="8" max="8" width="16.43000030517578" hidden="0" customWidth="1"/>
    <x:col min="9" max="9" width="50.709999084472656" hidden="0" customWidth="1"/>
  </x:cols>
  <x:sheetData>
    <x:row r="1" ht="25.5" customHeight="1">
      <x:c r="A1" s="27" t="str">
        <x:v>signal_id</x:v>
      </x:c>
      <x:c r="B1" s="27" t="str">
        <x:v>asset_id</x:v>
      </x:c>
      <x:c r="C1" s="27" t="str">
        <x:v>signal_type</x:v>
      </x:c>
      <x:c r="D1" s="27" t="str">
        <x:v>signal_date</x:v>
      </x:c>
      <x:c r="E1" s="27" t="str">
        <x:v>signal_summary</x:v>
      </x:c>
      <x:c r="F1" s="27" t="str">
        <x:v>source_id</x:v>
      </x:c>
      <x:c r="G1" s="27" t="str">
        <x:v>importance</x:v>
      </x:c>
      <x:c r="H1" s="27" t="str">
        <x:v>confidence_level</x:v>
      </x:c>
      <x:c r="I1" s="27" t="str">
        <x:v>analyst_note</x:v>
      </x:c>
    </x:row>
    <x:row r="2">
      <x:c r="A2" s="28" t="str">
        <x:v>sig_001</x:v>
      </x:c>
      <x:c r="B2" s="28" t="str">
        <x:v>ercot_bess_001</x:v>
      </x:c>
      <x:c r="C2" s="28" t="str">
        <x:v>Interconnection</x:v>
      </x:c>
      <x:c r="D2" s="31" t="n">
        <x:v>45373</x:v>
      </x:c>
      <x:c r="E2" s="28" t="str">
        <x:v>ERCOT GIS April 2026 lists Zeus Armstrong BESS (25INR0587) as 1043.08 MW battery storage in Armstrong County; phase: SS Completed, FIS Started, No IA; POI: Tap 345KV 23900 ALIBATES - 23914 TULECNYN.</x:v>
      </x:c>
      <x:c r="F2" s="28" t="str">
        <x:v>src_ercot_gis_apr2026</x:v>
      </x:c>
      <x:c r="G2" s="28" t="str">
        <x:v>High</x:v>
      </x:c>
      <x:c r="H2" s="28" t="str">
        <x:v>High</x:v>
      </x:c>
      <x:c r="I2" s="28" t="str">
        <x:v>Primary ERCOT GIS report row; verify exact site coordinates and owner hierarchy before client-facing map release.</x:v>
      </x:c>
    </x:row>
    <x:row r="3">
      <x:c r="A3" s="28" t="str">
        <x:v>sig_002</x:v>
      </x:c>
      <x:c r="B3" s="28" t="str">
        <x:v>ercot_bess_002</x:v>
      </x:c>
      <x:c r="C3" s="28" t="str">
        <x:v>Interconnection</x:v>
      </x:c>
      <x:c r="D3" s="31" t="n">
        <x:v>45813</x:v>
      </x:c>
      <x:c r="E3" s="28" t="str">
        <x:v>ERCOT GIS April 2026 lists Zeus Scurry BESS (27INR0535) as 1043.07 MW battery storage in Scurry County; phase: SS Completed, FIS Started, No IA; POI: MHOS 345 kV Substation (#59911).</x:v>
      </x:c>
      <x:c r="F3" s="28" t="str">
        <x:v>src_ercot_gis_apr2026</x:v>
      </x:c>
      <x:c r="G3" s="28" t="str">
        <x:v>High</x:v>
      </x:c>
      <x:c r="H3" s="28" t="str">
        <x:v>High</x:v>
      </x:c>
      <x:c r="I3" s="28" t="str">
        <x:v>Primary ERCOT GIS report row; verify exact site coordinates and owner hierarchy before client-facing map release.</x:v>
      </x:c>
    </x:row>
    <x:row r="4">
      <x:c r="A4" s="28" t="str">
        <x:v>sig_003</x:v>
      </x:c>
      <x:c r="B4" s="28" t="str">
        <x:v>ercot_bess_003</x:v>
      </x:c>
      <x:c r="C4" s="28" t="str">
        <x:v>Interconnection</x:v>
      </x:c>
      <x:c r="D4" s="31" t="n">
        <x:v>45827</x:v>
      </x:c>
      <x:c r="E4" s="28" t="str">
        <x:v>ERCOT GIS April 2026 lists Zeus Mitchell BESS II (26INR0686) as 1042.94 MW battery storage in Mitchell County; phase: SS Completed, FIS Started, No IA; POI: Tap 345 kV 10049 Ranger Camp - 10057 Prong Moss CKT #01 and #02.</x:v>
      </x:c>
      <x:c r="F4" s="28" t="str">
        <x:v>src_ercot_gis_apr2026</x:v>
      </x:c>
      <x:c r="G4" s="28" t="str">
        <x:v>High</x:v>
      </x:c>
      <x:c r="H4" s="28" t="str">
        <x:v>High</x:v>
      </x:c>
      <x:c r="I4" s="28" t="str">
        <x:v>Primary ERCOT GIS report row; verify exact site coordinates and owner hierarchy before client-facing map release.</x:v>
      </x:c>
    </x:row>
    <x:row r="5">
      <x:c r="A5" s="28" t="str">
        <x:v>sig_004</x:v>
      </x:c>
      <x:c r="B5" s="28" t="str">
        <x:v>ercot_bess_004</x:v>
      </x:c>
      <x:c r="C5" s="28" t="str">
        <x:v>Interconnection</x:v>
      </x:c>
      <x:c r="D5" s="31" t="n">
        <x:v>45432</x:v>
      </x:c>
      <x:c r="E5" s="28" t="str">
        <x:v>ERCOT GIS April 2026 lists Zeus Mitchell BESS (25INR0589) as 1042.94 MW battery storage in Mitchell County; phase: SS Completed, FIS Started, No IA; POI: Tap 345 kV 10049 Ranger Camp - 10057 Prong Moss CKT #01 and #02.</x:v>
      </x:c>
      <x:c r="F5" s="28" t="str">
        <x:v>src_ercot_gis_apr2026</x:v>
      </x:c>
      <x:c r="G5" s="28" t="str">
        <x:v>High</x:v>
      </x:c>
      <x:c r="H5" s="28" t="str">
        <x:v>High</x:v>
      </x:c>
      <x:c r="I5" s="28" t="str">
        <x:v>Primary ERCOT GIS report row; verify exact site coordinates and owner hierarchy before client-facing map release.</x:v>
      </x:c>
    </x:row>
    <x:row r="6">
      <x:c r="A6" s="28" t="str">
        <x:v>sig_005</x:v>
      </x:c>
      <x:c r="B6" s="28" t="str">
        <x:v>ercot_bess_005</x:v>
      </x:c>
      <x:c r="C6" s="28" t="str">
        <x:v>Interconnection</x:v>
      </x:c>
      <x:c r="D6" s="31" t="n">
        <x:v>46008</x:v>
      </x:c>
      <x:c r="E6" s="28" t="str">
        <x:v>ERCOT GIS April 2026 lists Kickstart Energy Storage VI (29INR0218) as 1026.2 MW battery storage in Ellis County; phase: SS Completed, FIS Started, No IA; POI: 345 KV Venus 1907 to Navarro 68091.</x:v>
      </x:c>
      <x:c r="F6" s="28" t="str">
        <x:v>src_ercot_gis_apr2026</x:v>
      </x:c>
      <x:c r="G6" s="28" t="str">
        <x:v>High</x:v>
      </x:c>
      <x:c r="H6" s="28" t="str">
        <x:v>High</x:v>
      </x:c>
      <x:c r="I6" s="28" t="str">
        <x:v>Primary ERCOT GIS report row; verify exact site coordinates and owner hierarchy before client-facing map release.</x:v>
      </x:c>
    </x:row>
    <x:row r="7">
      <x:c r="A7" s="28" t="str">
        <x:v>sig_006</x:v>
      </x:c>
      <x:c r="B7" s="28" t="str">
        <x:v>ercot_bess_006</x:v>
      </x:c>
      <x:c r="C7" s="28" t="str">
        <x:v>Interconnection</x:v>
      </x:c>
      <x:c r="D7" s="31" t="n">
        <x:v>45985</x:v>
      </x:c>
      <x:c r="E7" s="28" t="str">
        <x:v>ERCOT GIS April 2026 lists Kickstart Energy Storage V (29INR0217) as 999.0 MW battery storage in Ellis County; phase: SS Completed, FIS Started, No IA; POI: 345 KV Venus 1906 to Fort Smith 3389.</x:v>
      </x:c>
      <x:c r="F7" s="28" t="str">
        <x:v>src_ercot_gis_apr2026</x:v>
      </x:c>
      <x:c r="G7" s="28" t="str">
        <x:v>High</x:v>
      </x:c>
      <x:c r="H7" s="28" t="str">
        <x:v>High</x:v>
      </x:c>
      <x:c r="I7" s="28" t="str">
        <x:v>Primary ERCOT GIS report row; verify exact site coordinates and owner hierarchy before client-facing map release.</x:v>
      </x:c>
    </x:row>
    <x:row r="8">
      <x:c r="A8" s="28" t="str">
        <x:v>sig_007</x:v>
      </x:c>
      <x:c r="B8" s="28" t="str">
        <x:v>ercot_bess_007</x:v>
      </x:c>
      <x:c r="C8" s="28" t="str">
        <x:v>Interconnection</x:v>
      </x:c>
      <x:c r="D8" s="31" t="n">
        <x:v>45966</x:v>
      </x:c>
      <x:c r="E8" s="28" t="str">
        <x:v>ERCOT GIS April 2026 lists Nabla Energy Storage I (27INR0571) as 750.0 MW battery storage in Parker County; phase: SS Completed, FIS Started, No IA; POI: Double Tap 345kV Parker (1436) - Benbrook (1873 &amp; 1869) DCKT.</x:v>
      </x:c>
      <x:c r="F8" s="28" t="str">
        <x:v>src_ercot_gis_apr2026</x:v>
      </x:c>
      <x:c r="G8" s="28" t="str">
        <x:v>High</x:v>
      </x:c>
      <x:c r="H8" s="28" t="str">
        <x:v>High</x:v>
      </x:c>
      <x:c r="I8" s="28" t="str">
        <x:v>Primary ERCOT GIS report row; verify exact site coordinates and owner hierarchy before client-facing map release.</x:v>
      </x:c>
    </x:row>
    <x:row r="9">
      <x:c r="A9" s="28" t="str">
        <x:v>sig_008</x:v>
      </x:c>
      <x:c r="B9" s="28" t="str">
        <x:v>ercot_bess_008</x:v>
      </x:c>
      <x:c r="C9" s="28" t="str">
        <x:v>Interconnection</x:v>
      </x:c>
      <x:c r="D9" s="31" t="n">
        <x:v>45966</x:v>
      </x:c>
      <x:c r="E9" s="28" t="str">
        <x:v>ERCOT GIS April 2026 lists Nabla Energy Storage II (28INR0466) as 750.0 MW battery storage in Parker County; phase: SS Completed, FIS Started, No IA; POI: Double Tap 345kV Parker (1436) - Benbrook (1873 &amp; 1869) DCKT.</x:v>
      </x:c>
      <x:c r="F9" s="28" t="str">
        <x:v>src_ercot_gis_apr2026</x:v>
      </x:c>
      <x:c r="G9" s="28" t="str">
        <x:v>High</x:v>
      </x:c>
      <x:c r="H9" s="28" t="str">
        <x:v>High</x:v>
      </x:c>
      <x:c r="I9" s="28" t="str">
        <x:v>Primary ERCOT GIS report row; verify exact site coordinates and owner hierarchy before client-facing map release.</x:v>
      </x:c>
    </x:row>
    <x:row r="10">
      <x:c r="A10" s="28" t="str">
        <x:v>sig_009</x:v>
      </x:c>
      <x:c r="B10" s="28" t="str">
        <x:v>ercot_bess_009</x:v>
      </x:c>
      <x:c r="C10" s="28" t="str">
        <x:v>Interconnection</x:v>
      </x:c>
      <x:c r="D10" s="31" t="n">
        <x:v>45867</x:v>
      </x:c>
      <x:c r="E10" s="28" t="str">
        <x:v>ERCOT GIS April 2026 lists Howard Road BESS (29INR0173) as 617.63 MW battery storage in Bexar County; phase: SS Completed, FIS Started, No IA; POI: BUS#5231 HOWARD RD 345 kV SUBSTATION.</x:v>
      </x:c>
      <x:c r="F10" s="28" t="str">
        <x:v>src_ercot_gis_apr2026</x:v>
      </x:c>
      <x:c r="G10" s="28" t="str">
        <x:v>High</x:v>
      </x:c>
      <x:c r="H10" s="28" t="str">
        <x:v>High</x:v>
      </x:c>
      <x:c r="I10" s="28" t="str">
        <x:v>Primary ERCOT GIS report row; verify exact site coordinates and owner hierarchy before client-facing map release.</x:v>
      </x:c>
    </x:row>
    <x:row r="11">
      <x:c r="A11" s="28" t="str">
        <x:v>sig_010</x:v>
      </x:c>
      <x:c r="B11" s="28" t="str">
        <x:v>ercot_bess_010</x:v>
      </x:c>
      <x:c r="C11" s="28" t="str">
        <x:v>Interconnection</x:v>
      </x:c>
      <x:c r="D11" s="31" t="n">
        <x:v>45632</x:v>
      </x:c>
      <x:c r="E11" s="28" t="str">
        <x:v>ERCOT GIS April 2026 lists Comanche BESS (27INR0365) as 614.4 MW battery storage in Comanche County; phase: SS Completed, FIS Completed, No IA; POI: #1440 Comanche Switching Station 345kV.</x:v>
      </x:c>
      <x:c r="F11" s="28" t="str">
        <x:v>src_ercot_gis_apr2026</x:v>
      </x:c>
      <x:c r="G11" s="28" t="str">
        <x:v>High</x:v>
      </x:c>
      <x:c r="H11" s="28" t="str">
        <x:v>High</x:v>
      </x:c>
      <x:c r="I11" s="28" t="str">
        <x:v>Primary ERCOT GIS report row; verify exact site coordinates and owner hierarchy before client-facing map release.</x:v>
      </x:c>
    </x:row>
    <x:row r="12">
      <x:c r="A12" s="28" t="str">
        <x:v>sig_011</x:v>
      </x:c>
      <x:c r="B12" s="28" t="str">
        <x:v>ercot_bess_011</x:v>
      </x:c>
      <x:c r="C12" s="28" t="str">
        <x:v>Interconnection</x:v>
      </x:c>
      <x:c r="D12" s="31" t="n">
        <x:v>45702</x:v>
      </x:c>
      <x:c r="E12" s="28" t="str">
        <x:v>ERCOT GIS April 2026 lists Symphony BESS (26INR0466) as 612.0 MW battery storage in Austin County; phase: SS Completed, FIS Started, No IA; POI: 46220 PETERS.</x:v>
      </x:c>
      <x:c r="F12" s="28" t="str">
        <x:v>src_ercot_gis_apr2026</x:v>
      </x:c>
      <x:c r="G12" s="28" t="str">
        <x:v>High</x:v>
      </x:c>
      <x:c r="H12" s="28" t="str">
        <x:v>High</x:v>
      </x:c>
      <x:c r="I12" s="28" t="str">
        <x:v>Primary ERCOT GIS report row; verify exact site coordinates and owner hierarchy before client-facing map release.</x:v>
      </x:c>
    </x:row>
    <x:row r="13">
      <x:c r="A13" s="28" t="str">
        <x:v>sig_012</x:v>
      </x:c>
      <x:c r="B13" s="28" t="str">
        <x:v>ercot_bess_012</x:v>
      </x:c>
      <x:c r="C13" s="28" t="str">
        <x:v>Interconnection</x:v>
      </x:c>
      <x:c r="D13" s="31" t="n">
        <x:v>45645</x:v>
      </x:c>
      <x:c r="E13" s="28" t="str">
        <x:v>ERCOT GIS April 2026 lists Lavita BESS (26INR0465) as 606.0 MW battery storage in Bell County; phase: SS Completed, FIS Started, No IA; POI: Tap 345kV Temple Pecan Creek (3412) - Temple Switch (3414) 345kV ckt 2.</x:v>
      </x:c>
      <x:c r="F13" s="28" t="str">
        <x:v>src_ercot_gis_apr2026</x:v>
      </x:c>
      <x:c r="G13" s="28" t="str">
        <x:v>High</x:v>
      </x:c>
      <x:c r="H13" s="28" t="str">
        <x:v>High</x:v>
      </x:c>
      <x:c r="I13" s="28" t="str">
        <x:v>Primary ERCOT GIS report row; verify exact site coordinates and owner hierarchy before client-facing map release.</x:v>
      </x:c>
    </x:row>
    <x:row r="14">
      <x:c r="A14" s="28" t="str">
        <x:v>sig_013</x:v>
      </x:c>
      <x:c r="B14" s="28" t="str">
        <x:v>ercot_bess_013</x:v>
      </x:c>
      <x:c r="C14" s="28" t="str">
        <x:v>Interconnection</x:v>
      </x:c>
      <x:c r="D14" s="31" t="n">
        <x:v>45685</x:v>
      </x:c>
      <x:c r="E14" s="28" t="str">
        <x:v>ERCOT GIS April 2026 lists Moccasin Storage (27INR0452) as 603.08 MW battery storage in Jones County; phase: SS Completed, FIS Started, No IA; POI: Tap 345kV #60707 Kirchhoff -  #60515 Clear Crossing CKT-2.</x:v>
      </x:c>
      <x:c r="F14" s="28" t="str">
        <x:v>src_ercot_gis_apr2026</x:v>
      </x:c>
      <x:c r="G14" s="28" t="str">
        <x:v>High</x:v>
      </x:c>
      <x:c r="H14" s="28" t="str">
        <x:v>High</x:v>
      </x:c>
      <x:c r="I14" s="28" t="str">
        <x:v>Primary ERCOT GIS report row; verify exact site coordinates and owner hierarchy before client-facing map release.</x:v>
      </x:c>
    </x:row>
    <x:row r="15">
      <x:c r="A15" s="28" t="str">
        <x:v>sig_014</x:v>
      </x:c>
      <x:c r="B15" s="28" t="str">
        <x:v>ercot_bess_014</x:v>
      </x:c>
      <x:c r="C15" s="28" t="str">
        <x:v>Interconnection</x:v>
      </x:c>
      <x:c r="D15" s="31" t="n">
        <x:v>45539</x:v>
      </x:c>
      <x:c r="E15" s="28" t="str">
        <x:v>ERCOT GIS April 2026 lists Hobby BESS I (26INR0546) as 602.56 MW battery storage in Harris County; phase: SS Completed, FIS Completed, No IA; POI: Double Tap 138kV 42680 Garden Villas – 48250 Hall &amp; 42680 Garden Villas – 48013 Chocolate Bayou.</x:v>
      </x:c>
      <x:c r="F15" s="28" t="str">
        <x:v>src_ercot_gis_apr2026</x:v>
      </x:c>
      <x:c r="G15" s="28" t="str">
        <x:v>High</x:v>
      </x:c>
      <x:c r="H15" s="28" t="str">
        <x:v>High</x:v>
      </x:c>
      <x:c r="I15" s="28" t="str">
        <x:v>Primary ERCOT GIS report row; verify exact site coordinates and owner hierarchy before client-facing map release.</x:v>
      </x:c>
    </x:row>
    <x:row r="16">
      <x:c r="A16" s="28" t="str">
        <x:v>sig_015</x:v>
      </x:c>
      <x:c r="B16" s="28" t="str">
        <x:v>ercot_bess_015</x:v>
      </x:c>
      <x:c r="C16" s="28" t="str">
        <x:v>Interconnection</x:v>
      </x:c>
      <x:c r="D16" s="31" t="n">
        <x:v>46048</x:v>
      </x:c>
      <x:c r="E16" s="28" t="str">
        <x:v>ERCOT GIS April 2026 lists Kilby1 Part 2 Tier1 BESS (28INR0457) as 560.0 MW battery storage in Reeves County; phase: SS Completed, FIS Started, No IA; POI: Tap 345 11098 SLKSW – 60404 SOLSTICE Ckt 1 Tap 345 11098 SLKSW – 60404 SOLSTICE Ckt 2.</x:v>
      </x:c>
      <x:c r="F16" s="28" t="str">
        <x:v>src_ercot_gis_apr2026</x:v>
      </x:c>
      <x:c r="G16" s="28" t="str">
        <x:v>High</x:v>
      </x:c>
      <x:c r="H16" s="28" t="str">
        <x:v>High</x:v>
      </x:c>
      <x:c r="I16" s="28" t="str">
        <x:v>Primary ERCOT GIS report row; verify exact site coordinates and owner hierarchy before client-facing map release.</x:v>
      </x:c>
    </x:row>
    <x:row r="17">
      <x:c r="A17" s="28" t="str">
        <x:v>sig_016</x:v>
      </x:c>
      <x:c r="B17" s="28" t="str">
        <x:v>ercot_bess_016</x:v>
      </x:c>
      <x:c r="C17" s="28" t="str">
        <x:v>Interconnection</x:v>
      </x:c>
      <x:c r="D17" s="31" t="n">
        <x:v>46008</x:v>
      </x:c>
      <x:c r="E17" s="28" t="str">
        <x:v>ERCOT GIS April 2026 lists Miller Bend Energy BESS (29INR0204) as 547.62 MW battery storage in Young County; phase: SS Completed, FIS Started, No IA; POI: Tap 345kV (Bus1#1430) Graham SES to (Bus2#11050) Dusty Road.</x:v>
      </x:c>
      <x:c r="F17" s="28" t="str">
        <x:v>src_ercot_gis_apr2026</x:v>
      </x:c>
      <x:c r="G17" s="28" t="str">
        <x:v>High</x:v>
      </x:c>
      <x:c r="H17" s="28" t="str">
        <x:v>High</x:v>
      </x:c>
      <x:c r="I17" s="28" t="str">
        <x:v>Primary ERCOT GIS report row; verify exact site coordinates and owner hierarchy before client-facing map release.</x:v>
      </x:c>
    </x:row>
    <x:row r="18">
      <x:c r="A18" s="28" t="str">
        <x:v>sig_017</x:v>
      </x:c>
      <x:c r="B18" s="28" t="str">
        <x:v>ercot_bess_017</x:v>
      </x:c>
      <x:c r="C18" s="28" t="str">
        <x:v>Interconnection</x:v>
      </x:c>
      <x:c r="D18" s="31" t="n">
        <x:v>44902</x:v>
      </x:c>
      <x:c r="E18" s="28" t="str">
        <x:v>ERCOT GIS April 2026 lists Midnight Sun Energy Storage (24INR0442) as 523.86 MW battery storage in Crockett County; phase: SS Completed, FIS Started, IA; POI: 6601 Rio Pecos 138kV.</x:v>
      </x:c>
      <x:c r="F18" s="28" t="str">
        <x:v>src_ercot_gis_apr2026</x:v>
      </x:c>
      <x:c r="G18" s="28" t="str">
        <x:v>High</x:v>
      </x:c>
      <x:c r="H18" s="28" t="str">
        <x:v>High</x:v>
      </x:c>
      <x:c r="I18" s="28" t="str">
        <x:v>Primary ERCOT GIS report row; verify exact site coordinates and owner hierarchy before client-facing map release.</x:v>
      </x:c>
    </x:row>
    <x:row r="19">
      <x:c r="A19" s="28" t="str">
        <x:v>sig_018</x:v>
      </x:c>
      <x:c r="B19" s="28" t="str">
        <x:v>ercot_bess_018</x:v>
      </x:c>
      <x:c r="C19" s="28" t="str">
        <x:v>Interconnection</x:v>
      </x:c>
      <x:c r="D19" s="31" t="n">
        <x:v>45520</x:v>
      </x:c>
      <x:c r="E19" s="28" t="str">
        <x:v>ERCOT GIS April 2026 lists Knight Airport BESS I (26INR0545) as 522.46 MW battery storage in Harris County; phase: SS Completed, FIS Started, No IA; POI: Tap 138kV 48126 Gulfgate - 48199 Knight 06 and 42680 Garden Villas - 42770 Ashville 06.</x:v>
      </x:c>
      <x:c r="F19" s="28" t="str">
        <x:v>src_ercot_gis_apr2026</x:v>
      </x:c>
      <x:c r="G19" s="28" t="str">
        <x:v>High</x:v>
      </x:c>
      <x:c r="H19" s="28" t="str">
        <x:v>High</x:v>
      </x:c>
      <x:c r="I19" s="28" t="str">
        <x:v>Primary ERCOT GIS report row; verify exact site coordinates and owner hierarchy before client-facing map release.</x:v>
      </x:c>
    </x:row>
    <x:row r="20">
      <x:c r="A20" s="28" t="str">
        <x:v>sig_019</x:v>
      </x:c>
      <x:c r="B20" s="28" t="str">
        <x:v>ercot_bess_019</x:v>
      </x:c>
      <x:c r="C20" s="28" t="str">
        <x:v>Interconnection</x:v>
      </x:c>
      <x:c r="D20" s="31" t="n">
        <x:v>45280</x:v>
      </x:c>
      <x:c r="E20" s="28" t="str">
        <x:v>ERCOT GIS April 2026 lists Avalon BESS (26INR0375) as 522.12 MW battery storage in Fort Bend County; phase: SS Completed, FIS Completed, IA; POI: Tapping the 345 kV Line from Smithers (Bus# 44650) to Bellaire (Bus# 47000)..</x:v>
      </x:c>
      <x:c r="F20" s="28" t="str">
        <x:v>src_ercot_gis_apr2026</x:v>
      </x:c>
      <x:c r="G20" s="28" t="str">
        <x:v>High</x:v>
      </x:c>
      <x:c r="H20" s="28" t="str">
        <x:v>High</x:v>
      </x:c>
      <x:c r="I20" s="28" t="str">
        <x:v>Primary ERCOT GIS report row; verify exact site coordinates and owner hierarchy before client-facing map release.</x:v>
      </x:c>
    </x:row>
    <x:row r="21">
      <x:c r="A21" s="28" t="str">
        <x:v>sig_020</x:v>
      </x:c>
      <x:c r="B21" s="28" t="str">
        <x:v>ercot_bess_020</x:v>
      </x:c>
      <x:c r="C21" s="28" t="str">
        <x:v>Interconnection</x:v>
      </x:c>
      <x:c r="D21" s="31" t="n">
        <x:v>45909</x:v>
      </x:c>
      <x:c r="E21" s="28" t="str">
        <x:v>ERCOT GIS April 2026 lists Falcon BESS (29INR0169) as 516.72 MW battery storage in Zapata County; phase: SS Completed, FIS Started, No IA; POI: Tap 345kV #80225 CENIZO to #80307 DEL SOL.</x:v>
      </x:c>
      <x:c r="F21" s="28" t="str">
        <x:v>src_ercot_gis_apr2026</x:v>
      </x:c>
      <x:c r="G21" s="28" t="str">
        <x:v>High</x:v>
      </x:c>
      <x:c r="H21" s="28" t="str">
        <x:v>High</x:v>
      </x:c>
      <x:c r="I21" s="28" t="str">
        <x:v>Primary ERCOT GIS report row; verify exact site coordinates and owner hierarchy before client-facing map release.</x:v>
      </x:c>
    </x:row>
    <x:row r="22">
      <x:c r="A22" s="28" t="str">
        <x:v>sig_021</x:v>
      </x:c>
      <x:c r="B22" s="28" t="str">
        <x:v>ercot_bess_021</x:v>
      </x:c>
      <x:c r="C22" s="28" t="str">
        <x:v>Interconnection</x:v>
      </x:c>
      <x:c r="D22" s="31" t="n">
        <x:v>45397</x:v>
      </x:c>
      <x:c r="E22" s="28" t="str">
        <x:v>ERCOT GIS April 2026 lists Ochoa Energy Storage II (27INR0235) as 516.56 MW battery storage in Waller County; phase: SS Completed, FIS Started, No IA; POI: Tap 138kV 44420 Katy - 44230 Flewellen.</x:v>
      </x:c>
      <x:c r="F22" s="28" t="str">
        <x:v>src_ercot_gis_apr2026</x:v>
      </x:c>
      <x:c r="G22" s="28" t="str">
        <x:v>High</x:v>
      </x:c>
      <x:c r="H22" s="28" t="str">
        <x:v>High</x:v>
      </x:c>
      <x:c r="I22" s="28" t="str">
        <x:v>Primary ERCOT GIS report row; verify exact site coordinates and owner hierarchy before client-facing map release.</x:v>
      </x:c>
    </x:row>
    <x:row r="23">
      <x:c r="A23" s="28" t="str">
        <x:v>sig_022</x:v>
      </x:c>
      <x:c r="B23" s="28" t="str">
        <x:v>ercot_bess_022</x:v>
      </x:c>
      <x:c r="C23" s="28" t="str">
        <x:v>Interconnection</x:v>
      </x:c>
      <x:c r="D23" s="31" t="n">
        <x:v>46063</x:v>
      </x:c>
      <x:c r="E23" s="28" t="str">
        <x:v>ERCOT GIS April 2026 lists Enfinity Redbud Storage (29INR0242) as 516.05 MW battery storage in Comal County; phase: SS Started, FIS Started, No IA; POI: 345kV Hays Energy (7043) - 345kV Bergheim (7770).</x:v>
      </x:c>
      <x:c r="F23" s="28" t="str">
        <x:v>src_ercot_gis_apr2026</x:v>
      </x:c>
      <x:c r="G23" s="28" t="str">
        <x:v>High</x:v>
      </x:c>
      <x:c r="H23" s="28" t="str">
        <x:v>High</x:v>
      </x:c>
      <x:c r="I23" s="28" t="str">
        <x:v>Primary ERCOT GIS report row; verify exact site coordinates and owner hierarchy before client-facing map release.</x:v>
      </x:c>
    </x:row>
    <x:row r="24">
      <x:c r="A24" s="28" t="str">
        <x:v>sig_023</x:v>
      </x:c>
      <x:c r="B24" s="28" t="str">
        <x:v>ercot_bess_023</x:v>
      </x:c>
      <x:c r="C24" s="28" t="str">
        <x:v>Interconnection</x:v>
      </x:c>
      <x:c r="D24" s="31" t="n">
        <x:v>45966</x:v>
      </x:c>
      <x:c r="E24" s="28" t="str">
        <x:v>ERCOT GIS April 2026 lists Seven Angels Energy Storage I (28INR0472) as 514.0 MW battery storage in Hill County; phase: SS Completed, FIS Started, No IA; POI: 68090 Sam Switch Bus 345kV.</x:v>
      </x:c>
      <x:c r="F24" s="28" t="str">
        <x:v>src_ercot_gis_apr2026</x:v>
      </x:c>
      <x:c r="G24" s="28" t="str">
        <x:v>High</x:v>
      </x:c>
      <x:c r="H24" s="28" t="str">
        <x:v>High</x:v>
      </x:c>
      <x:c r="I24" s="28" t="str">
        <x:v>Primary ERCOT GIS report row; verify exact site coordinates and owner hierarchy before client-facing map release.</x:v>
      </x:c>
    </x:row>
    <x:row r="25">
      <x:c r="A25" s="28" t="str">
        <x:v>sig_024</x:v>
      </x:c>
      <x:c r="B25" s="28" t="str">
        <x:v>ercot_bess_024</x:v>
      </x:c>
      <x:c r="C25" s="28" t="str">
        <x:v>Interconnection</x:v>
      </x:c>
      <x:c r="D25" s="31" t="n">
        <x:v>45966</x:v>
      </x:c>
      <x:c r="E25" s="28" t="str">
        <x:v>ERCOT GIS April 2026 lists Seven Angels Energy Storage II (28INR0473) as 514.0 MW battery storage in Hill County; phase: SS Completed, FIS Started, No IA; POI: 68090 Sam Switch Bus 345kV.</x:v>
      </x:c>
      <x:c r="F25" s="28" t="str">
        <x:v>src_ercot_gis_apr2026</x:v>
      </x:c>
      <x:c r="G25" s="28" t="str">
        <x:v>High</x:v>
      </x:c>
      <x:c r="H25" s="28" t="str">
        <x:v>High</x:v>
      </x:c>
      <x:c r="I25" s="28" t="str">
        <x:v>Primary ERCOT GIS report row; verify exact site coordinates and owner hierarchy before client-facing map release.</x:v>
      </x:c>
    </x:row>
    <x:row r="26">
      <x:c r="A26" s="28" t="str">
        <x:v>sig_025</x:v>
      </x:c>
      <x:c r="B26" s="28" t="str">
        <x:v>ercot_bess_025</x:v>
      </x:c>
      <x:c r="C26" s="28" t="str">
        <x:v>Interconnection</x:v>
      </x:c>
      <x:c r="D26" s="31" t="n">
        <x:v>45152</x:v>
      </x:c>
      <x:c r="E26" s="28" t="str">
        <x:v>ERCOT GIS April 2026 lists Ross Storage (26INR0156) as 510.99 MW battery storage in Refugio County; phase: SS Completed, FIS Started, IA; POI: tap the 345 kV Angstrom (#8249) – Static (#8676) line; AEP.</x:v>
      </x:c>
      <x:c r="F26" s="28" t="str">
        <x:v>src_ercot_gis_apr2026</x:v>
      </x:c>
      <x:c r="G26" s="28" t="str">
        <x:v>High</x:v>
      </x:c>
      <x:c r="H26" s="28" t="str">
        <x:v>High</x:v>
      </x:c>
      <x:c r="I26" s="28" t="str">
        <x:v>Primary ERCOT GIS report row; verify exact site coordinates and owner hierarchy before client-facing map release.</x:v>
      </x:c>
    </x:row>
    <x:row r="27">
      <x:c r="A27" s="28" t="str">
        <x:v>sig_enrich_001</x:v>
      </x:c>
      <x:c r="B27" s="28" t="str">
        <x:v>ercot_bess_019</x:v>
      </x:c>
      <x:c r="C27" s="28" t="str">
        <x:v>Ownership</x:v>
      </x:c>
      <x:c r="D27" s="31" t="n">
        <x:v>46146</x:v>
      </x:c>
      <x:c r="E27" s="28" t="str">
        <x:v>Greenbelt Renewables lists Avalon BESS in Fort Bend County, TX at 522 MW on its project portfolio page, providing a developer/sponsor signal beyond the ERCOT queue row.</x:v>
      </x:c>
      <x:c r="F27" s="28" t="str">
        <x:v>src_greenbelt_projects</x:v>
      </x:c>
      <x:c r="G27" s="28" t="str">
        <x:v>High</x:v>
      </x:c>
      <x:c r="H27" s="28" t="str">
        <x:v>Medium</x:v>
      </x:c>
      <x:c r="I27" s="28" t="str">
        <x:v>Treat as a sponsor/developer lead; verify legal entity relationship between Avalon BESS LLC and Greenbelt before client-facing use.</x:v>
      </x:c>
    </x:row>
    <x:row r="28">
      <x:c r="A28" s="28" t="str">
        <x:v>sig_enrich_002</x:v>
      </x:c>
      <x:c r="B28" s="28" t="str">
        <x:v>ercot_bess_019</x:v>
      </x:c>
      <x:c r="C28" s="28" t="str">
        <x:v>Interconnection</x:v>
      </x:c>
      <x:c r="D28" s="31" t="n">
        <x:v>46146</x:v>
      </x:c>
      <x:c r="E28" s="28" t="str">
        <x:v>Interconnection.fyi corroborates Avalon BESS as 522.12 MW, Fort Bend County, active in ERCOT queue 26INR0375, with POI on the 345 kV Smithers-Bellaire line.</x:v>
      </x:c>
      <x:c r="F28" s="28" t="str">
        <x:v>src_interconnection_avalon</x:v>
      </x:c>
      <x:c r="G28" s="28" t="str">
        <x:v>Medium</x:v>
      </x:c>
      <x:c r="H28" s="28" t="str">
        <x:v>Medium</x:v>
      </x:c>
      <x:c r="I28" s="28" t="str">
        <x:v>Secondary queue aggregator confirms the core ERCOT attributes and makes this a good candidate for coordinate/POI enrichment.</x:v>
      </x:c>
    </x:row>
    <x:row r="29">
      <x:c r="A29" s="28" t="str">
        <x:v>sig_enrich_003</x:v>
      </x:c>
      <x:c r="B29" s="28" t="str">
        <x:v>ercot_bess_005</x:v>
      </x:c>
      <x:c r="C29" s="28" t="str">
        <x:v>Interconnection</x:v>
      </x:c>
      <x:c r="D29" s="31" t="n">
        <x:v>46146</x:v>
      </x:c>
      <x:c r="E29" s="28" t="str">
        <x:v>Interconnection.fyi corroborates Kickstart Energy Storage VI as a 1,026.2 MW Ellis County BESS, ERCOT queue 29INR0218, POI on 345 kV Venus 1907 to Navarro 68091.</x:v>
      </x:c>
      <x:c r="F29" s="28" t="str">
        <x:v>src_interconnection_kickstart_vi</x:v>
      </x:c>
      <x:c r="G29" s="28" t="str">
        <x:v>High</x:v>
      </x:c>
      <x:c r="H29" s="28" t="str">
        <x:v>Medium</x:v>
      </x:c>
      <x:c r="I29" s="28" t="str">
        <x:v>Very large project on a DFW-adjacent corridor. Next research step is identifying Kickstart Infrastructure ownership and site-control evidence.</x:v>
      </x:c>
    </x:row>
    <x:row r="30">
      <x:c r="A30" s="28" t="str">
        <x:v>sig_enrich_004</x:v>
      </x:c>
      <x:c r="B30" s="28" t="str">
        <x:v>ercot_bess_006</x:v>
      </x:c>
      <x:c r="C30" s="28" t="str">
        <x:v>Interconnection</x:v>
      </x:c>
      <x:c r="D30" s="31" t="n">
        <x:v>46146</x:v>
      </x:c>
      <x:c r="E30" s="28" t="str">
        <x:v>Interconnection.fyi corroborates Kickstart Energy Storage V as a 999 MW Ellis County BESS, ERCOT queue 29INR0217, POI on 345 kV Venus 1906 to Fort Smith 3389.</x:v>
      </x:c>
      <x:c r="F30" s="28" t="str">
        <x:v>src_interconnection_kickstart_v</x:v>
      </x:c>
      <x:c r="G30" s="28" t="str">
        <x:v>High</x:v>
      </x:c>
      <x:c r="H30" s="28" t="str">
        <x:v>Medium</x:v>
      </x:c>
      <x:c r="I30" s="28" t="str">
        <x:v>Pairs with Kickstart Energy Storage VI and earlier Kickstart I-IV entries, suggesting a clustered platform strategy in Ellis County.</x:v>
      </x:c>
    </x:row>
    <x:row r="31">
      <x:c r="A31" s="28" t="str">
        <x:v>sig_enrich_005</x:v>
      </x:c>
      <x:c r="B31" s="28" t="str">
        <x:v>ercot_bess_010</x:v>
      </x:c>
      <x:c r="C31" s="28" t="str">
        <x:v>Ownership</x:v>
      </x:c>
      <x:c r="D31" s="31" t="n">
        <x:v>46146</x:v>
      </x:c>
      <x:c r="E31" s="28" t="str">
        <x:v>CorporationWiki public-records aggregation associates Miguel Oneto with Energos Bess, LLC and Comanche Bess LLC, creating a possible ownership-network lead for Comanche BESS.</x:v>
      </x:c>
      <x:c r="F31" s="28" t="str">
        <x:v>src_corpwiki_oneto</x:v>
      </x:c>
      <x:c r="G31" s="28" t="str">
        <x:v>Medium</x:v>
      </x:c>
      <x:c r="H31" s="28" t="str">
        <x:v>Low</x:v>
      </x:c>
      <x:c r="I31" s="28" t="str">
        <x:v>Useful lead only. Verify through Texas Secretary of State or county records before relying on it.</x:v>
      </x:c>
    </x:row>
    <x:row r="32">
      <x:c r="A32" s="28" t="str">
        <x:v>sig_enrich_006</x:v>
      </x:c>
      <x:c r="B32" s="28" t="str">
        <x:v>ercot_bess_010</x:v>
      </x:c>
      <x:c r="C32" s="28" t="str">
        <x:v>Interconnection</x:v>
      </x:c>
      <x:c r="D32" s="31" t="n">
        <x:v>46146</x:v>
      </x:c>
      <x:c r="E32" s="28" t="str">
        <x:v>Interconnection.fyi corroborates Comanche BESS as 614.4 MW, Comanche County, active in ERCOT queue 27INR0365, with POI at #1440 Comanche Switching Station 345kV.</x:v>
      </x:c>
      <x:c r="F32" s="28" t="str">
        <x:v>src_interconnection_comanche</x:v>
      </x:c>
      <x:c r="G32" s="28" t="str">
        <x:v>Medium</x:v>
      </x:c>
      <x:c r="H32" s="28" t="str">
        <x:v>Medium</x:v>
      </x:c>
      <x:c r="I32" s="28" t="str">
        <x:v>The named switching station makes this a good target for better geocoding than county centroid.</x:v>
      </x:c>
    </x:row>
    <x:row r="33">
      <x:c r="A33" s="28" t="str">
        <x:v>sig_enrich_007</x:v>
      </x:c>
      <x:c r="B33" s="28" t="str">
        <x:v>ercot_bess_014</x:v>
      </x:c>
      <x:c r="C33" s="28" t="str">
        <x:v>Interconnection</x:v>
      </x:c>
      <x:c r="D33" s="31" t="n">
        <x:v>46146</x:v>
      </x:c>
      <x:c r="E33" s="28" t="str">
        <x:v>RenewablesInfo corroborates Hobby BESS I as an Airport Storage II LLC project in Harris County with a proposed October 2027 COD and facility-study/interconnection-study status.</x:v>
      </x:c>
      <x:c r="F33" s="28" t="str">
        <x:v>src_renewablesinfo_hobby</x:v>
      </x:c>
      <x:c r="G33" s="28" t="str">
        <x:v>Medium</x:v>
      </x:c>
      <x:c r="H33" s="28" t="str">
        <x:v>Medium</x:v>
      </x:c>
      <x:c r="I33" s="28" t="str">
        <x:v>Secondary source helps frame maturity, but ERCOT should remain the milestone source of record.</x:v>
      </x:c>
    </x:row>
    <x:row r="34">
      <x:c r="A34" s="28" t="str">
        <x:v>sig_enrich_008</x:v>
      </x:c>
      <x:c r="B34" s="28" t="str">
        <x:v>ercot_bess_018</x:v>
      </x:c>
      <x:c r="C34" s="28" t="str">
        <x:v>Interconnection</x:v>
      </x:c>
      <x:c r="D34" s="31" t="n">
        <x:v>46146</x:v>
      </x:c>
      <x:c r="E34" s="28" t="str">
        <x:v>Interconnection.fyi corroborates Knight Airport BESS I as 522.46 MW, Harris County, active in ERCOT queue 26INR0545, with POI taps involving Gulfgate, Knight, Garden Villas, and Ashville 138 kV facilities.</x:v>
      </x:c>
      <x:c r="F34" s="28" t="str">
        <x:v>src_interconnection_knight</x:v>
      </x:c>
      <x:c r="G34" s="28" t="str">
        <x:v>Medium</x:v>
      </x:c>
      <x:c r="H34" s="28" t="str">
        <x:v>Medium</x:v>
      </x:c>
      <x:c r="I34" s="28" t="str">
        <x:v>The cluster of Houston-area POI names supports prioritizing substation-level geocoding.</x:v>
      </x:c>
    </x:row>
    <x:row r="35">
      <x:c r="A35" s="28" t="str">
        <x:v>sig_enrich_009</x:v>
      </x:c>
      <x:c r="B35" s="28" t="str">
        <x:v>ercot_bess_014</x:v>
      </x:c>
      <x:c r="C35" s="28" t="str">
        <x:v>Data Center Proximity</x:v>
      </x:c>
      <x:c r="D35" s="31" t="n">
        <x:v>46112</x:v>
      </x:c>
      <x:c r="E35" s="28" t="str">
        <x:v>ENGIE Resources describes Texas as a major data center market with hubs in Dallas-Fort Worth, Austin, Houston, and San Antonio, supporting Houston/Harris County demand-context scoring.</x:v>
      </x:c>
      <x:c r="F35" s="28" t="str">
        <x:v>src_engie_data_centers_ercot</x:v>
      </x:c>
      <x:c r="G35" s="28" t="str">
        <x:v>Medium</x:v>
      </x:c>
      <x:c r="H35" s="28" t="str">
        <x:v>Medium</x:v>
      </x:c>
      <x:c r="I35" s="28" t="str">
        <x:v>This is market-context evidence, not facility-level proximity. Replace with named data center locations in the MVP.</x:v>
      </x:c>
    </x:row>
    <x:row r="36">
      <x:c r="A36" s="28" t="str">
        <x:v>sig_enrich_010</x:v>
      </x:c>
      <x:c r="B36" s="28" t="str">
        <x:v>ercot_bess_018</x:v>
      </x:c>
      <x:c r="C36" s="28" t="str">
        <x:v>Data Center Proximity</x:v>
      </x:c>
      <x:c r="D36" s="31" t="n">
        <x:v>46112</x:v>
      </x:c>
      <x:c r="E36" s="28" t="str">
        <x:v>ENGIE Resources identifies Houston as one of Texas's main data center hubs, supporting demand-context scoring for Knight Airport BESS I in Harris County.</x:v>
      </x:c>
      <x:c r="F36" s="28" t="str">
        <x:v>src_engie_data_centers_ercot</x:v>
      </x:c>
      <x:c r="G36" s="28" t="str">
        <x:v>Medium</x:v>
      </x:c>
      <x:c r="H36" s="28" t="str">
        <x:v>Medium</x:v>
      </x:c>
      <x:c r="I36" s="28" t="str">
        <x:v>Use as corridor-level demand signal only.</x:v>
      </x:c>
    </x:row>
    <x:row r="37">
      <x:c r="A37" s="28" t="str">
        <x:v>sig_enrich_011</x:v>
      </x:c>
      <x:c r="B37" s="28" t="str">
        <x:v>ercot_bess_005</x:v>
      </x:c>
      <x:c r="C37" s="28" t="str">
        <x:v>Data Center Proximity</x:v>
      </x:c>
      <x:c r="D37" s="31" t="n">
        <x:v>46112</x:v>
      </x:c>
      <x:c r="E37" s="28" t="str">
        <x:v>ENGIE Resources identifies Dallas-Fort Worth as one of Texas's main data center hubs, supporting demand-context scoring for Ellis County Kickstart Energy Storage VI.</x:v>
      </x:c>
      <x:c r="F37" s="28" t="str">
        <x:v>src_engie_data_centers_ercot</x:v>
      </x:c>
      <x:c r="G37" s="28" t="str">
        <x:v>Medium</x:v>
      </x:c>
      <x:c r="H37" s="28" t="str">
        <x:v>Medium</x:v>
      </x:c>
      <x:c r="I37" s="28" t="str">
        <x:v>Use as corridor-level demand signal only.</x:v>
      </x:c>
    </x:row>
    <x:row r="38">
      <x:c r="A38" s="28" t="str">
        <x:v>sig_enrich_012</x:v>
      </x:c>
      <x:c r="B38" s="28" t="str">
        <x:v>ercot_bess_006</x:v>
      </x:c>
      <x:c r="C38" s="28" t="str">
        <x:v>Data Center Proximity</x:v>
      </x:c>
      <x:c r="D38" s="31" t="n">
        <x:v>46112</x:v>
      </x:c>
      <x:c r="E38" s="28" t="str">
        <x:v>ENGIE Resources identifies Dallas-Fort Worth as one of Texas's main data center hubs, supporting demand-context scoring for Ellis County Kickstart Energy Storage V.</x:v>
      </x:c>
      <x:c r="F38" s="28" t="str">
        <x:v>src_engie_data_centers_ercot</x:v>
      </x:c>
      <x:c r="G38" s="28" t="str">
        <x:v>Medium</x:v>
      </x:c>
      <x:c r="H38" s="28" t="str">
        <x:v>Medium</x:v>
      </x:c>
      <x:c r="I38" s="28" t="str">
        <x:v>Use as corridor-level demand signal only.</x:v>
      </x:c>
    </x:row>
    <x:row r="39">
      <x:c r="A39" s="28" t="str">
        <x:v>sig_enrich_013</x:v>
      </x:c>
      <x:c r="B39" s="28" t="str">
        <x:v>ercot_bess_019</x:v>
      </x:c>
      <x:c r="C39" s="28" t="str">
        <x:v>Data Center Proximity</x:v>
      </x:c>
      <x:c r="D39" s="31" t="n">
        <x:v>46112</x:v>
      </x:c>
      <x:c r="E39" s="28" t="str">
        <x:v>ENGIE Resources identifies Houston as one of Texas's main data center hubs, supporting demand-context scoring for Avalon BESS in Fort Bend County.</x:v>
      </x:c>
      <x:c r="F39" s="28" t="str">
        <x:v>src_engie_data_centers_ercot</x:v>
      </x:c>
      <x:c r="G39" s="28" t="str">
        <x:v>Medium</x:v>
      </x:c>
      <x:c r="H39" s="28" t="str">
        <x:v>Medium</x:v>
      </x:c>
      <x:c r="I39" s="28" t="str">
        <x:v>Use as corridor-level demand signal only.</x:v>
      </x:c>
    </x:row>
    <x:row r="40">
      <x:c r="A40" s="28" t="str">
        <x:v>sig_enrich_014</x:v>
      </x:c>
      <x:c r="B40" s="28" t="str">
        <x:v>ercot_bess_005</x:v>
      </x:c>
      <x:c r="C40" s="28" t="str">
        <x:v>Local Government</x:v>
      </x:c>
      <x:c r="D40" s="31" t="n">
        <x:v>46100</x:v>
      </x:c>
      <x:c r="E40" s="28" t="str">
        <x:v>ERCOT's 2025 Annual Report says its February 2026 large-load interconnection queue contained about 400 requests totaling 239,000 MW, underscoring the broader power-demand backdrop for large storage projects.</x:v>
      </x:c>
      <x:c r="F40" s="28" t="str">
        <x:v>src_ercot_annual_report_2025</x:v>
      </x:c>
      <x:c r="G40" s="28" t="str">
        <x:v>Medium</x:v>
      </x:c>
      <x:c r="H40" s="28" t="str">
        <x:v>High</x:v>
      </x:c>
      <x:c r="I40" s="28" t="str">
        <x:v>System-level context. It strengthens the product thesis but is not project-specific evidence.</x:v>
      </x:c>
    </x:row>
    <x:row r="41">
      <x:c r="A41" s="28"/>
      <x:c r="B41" s="28"/>
      <x:c r="C41" s="28"/>
      <x:c r="D41" s="31"/>
      <x:c r="E41" s="28"/>
      <x:c r="F41" s="28"/>
      <x:c r="G41" s="28"/>
      <x:c r="H41" s="28"/>
      <x:c r="I41" s="28"/>
    </x:row>
    <x:row r="42">
      <x:c r="A42" s="28"/>
      <x:c r="B42" s="28"/>
      <x:c r="C42" s="28"/>
      <x:c r="D42" s="31"/>
      <x:c r="E42" s="28"/>
      <x:c r="F42" s="28"/>
      <x:c r="G42" s="28"/>
      <x:c r="H42" s="28"/>
      <x:c r="I42" s="28"/>
    </x:row>
    <x:row r="43">
      <x:c r="A43" s="28"/>
      <x:c r="B43" s="28"/>
      <x:c r="C43" s="28"/>
      <x:c r="D43" s="31"/>
      <x:c r="E43" s="28"/>
      <x:c r="F43" s="28"/>
      <x:c r="G43" s="28"/>
      <x:c r="H43" s="28"/>
      <x:c r="I43" s="28"/>
    </x:row>
    <x:row r="44">
      <x:c r="A44" s="28"/>
      <x:c r="B44" s="28"/>
      <x:c r="C44" s="28"/>
      <x:c r="D44" s="31"/>
      <x:c r="E44" s="28"/>
      <x:c r="F44" s="28"/>
      <x:c r="G44" s="28"/>
      <x:c r="H44" s="28"/>
      <x:c r="I44" s="28"/>
    </x:row>
    <x:row r="45">
      <x:c r="A45" s="28"/>
      <x:c r="B45" s="28"/>
      <x:c r="C45" s="28"/>
      <x:c r="D45" s="31"/>
      <x:c r="E45" s="28"/>
      <x:c r="F45" s="28"/>
      <x:c r="G45" s="28"/>
      <x:c r="H45" s="28"/>
      <x:c r="I45" s="28"/>
    </x:row>
    <x:row r="46">
      <x:c r="A46" s="28"/>
      <x:c r="B46" s="28"/>
      <x:c r="C46" s="28"/>
      <x:c r="D46" s="31"/>
      <x:c r="E46" s="28"/>
      <x:c r="F46" s="28"/>
      <x:c r="G46" s="28"/>
      <x:c r="H46" s="28"/>
      <x:c r="I46" s="28"/>
    </x:row>
    <x:row r="47">
      <x:c r="A47" s="28"/>
      <x:c r="B47" s="28"/>
      <x:c r="C47" s="28"/>
      <x:c r="D47" s="31"/>
      <x:c r="E47" s="28"/>
      <x:c r="F47" s="28"/>
      <x:c r="G47" s="28"/>
      <x:c r="H47" s="28"/>
      <x:c r="I47" s="28"/>
    </x:row>
    <x:row r="48">
      <x:c r="A48" s="28"/>
      <x:c r="B48" s="28"/>
      <x:c r="C48" s="28"/>
      <x:c r="D48" s="31"/>
      <x:c r="E48" s="28"/>
      <x:c r="F48" s="28"/>
      <x:c r="G48" s="28"/>
      <x:c r="H48" s="28"/>
      <x:c r="I48" s="28"/>
    </x:row>
    <x:row r="49">
      <x:c r="A49" s="28"/>
      <x:c r="B49" s="28"/>
      <x:c r="C49" s="28"/>
      <x:c r="D49" s="31"/>
      <x:c r="E49" s="28"/>
      <x:c r="F49" s="28"/>
      <x:c r="G49" s="28"/>
      <x:c r="H49" s="28"/>
      <x:c r="I49" s="28"/>
    </x:row>
    <x:row r="50">
      <x:c r="A50" s="28"/>
      <x:c r="B50" s="28"/>
      <x:c r="C50" s="28"/>
      <x:c r="D50" s="31"/>
      <x:c r="E50" s="28"/>
      <x:c r="F50" s="28"/>
      <x:c r="G50" s="28"/>
      <x:c r="H50" s="28"/>
      <x:c r="I50" s="28"/>
    </x:row>
    <x:row r="51">
      <x:c r="A51" s="28"/>
      <x:c r="B51" s="28"/>
      <x:c r="C51" s="28"/>
      <x:c r="D51" s="31"/>
      <x:c r="E51" s="28"/>
      <x:c r="F51" s="28"/>
      <x:c r="G51" s="28"/>
      <x:c r="H51" s="28"/>
      <x:c r="I51" s="28"/>
    </x:row>
    <x:row r="52">
      <x:c r="A52" s="28"/>
      <x:c r="B52" s="28"/>
      <x:c r="C52" s="28"/>
      <x:c r="D52" s="31"/>
      <x:c r="E52" s="28"/>
      <x:c r="F52" s="28"/>
      <x:c r="G52" s="28"/>
      <x:c r="H52" s="28"/>
      <x:c r="I52" s="28"/>
    </x:row>
    <x:row r="53">
      <x:c r="A53" s="28"/>
      <x:c r="B53" s="28"/>
      <x:c r="C53" s="28"/>
      <x:c r="D53" s="31"/>
      <x:c r="E53" s="28"/>
      <x:c r="F53" s="28"/>
      <x:c r="G53" s="28"/>
      <x:c r="H53" s="28"/>
      <x:c r="I53" s="28"/>
    </x:row>
    <x:row r="54">
      <x:c r="A54" s="28"/>
      <x:c r="B54" s="28"/>
      <x:c r="C54" s="28"/>
      <x:c r="D54" s="31"/>
      <x:c r="E54" s="28"/>
      <x:c r="F54" s="28"/>
      <x:c r="G54" s="28"/>
      <x:c r="H54" s="28"/>
      <x:c r="I54" s="28"/>
    </x:row>
    <x:row r="55">
      <x:c r="A55" s="28"/>
      <x:c r="B55" s="28"/>
      <x:c r="C55" s="28"/>
      <x:c r="D55" s="31"/>
      <x:c r="E55" s="28"/>
      <x:c r="F55" s="28"/>
      <x:c r="G55" s="28"/>
      <x:c r="H55" s="28"/>
      <x:c r="I55" s="28"/>
    </x:row>
    <x:row r="56">
      <x:c r="A56" s="28"/>
      <x:c r="B56" s="28"/>
      <x:c r="C56" s="28"/>
      <x:c r="D56" s="31"/>
      <x:c r="E56" s="28"/>
      <x:c r="F56" s="28"/>
      <x:c r="G56" s="28"/>
      <x:c r="H56" s="28"/>
      <x:c r="I56" s="28"/>
    </x:row>
    <x:row r="57">
      <x:c r="A57" s="28"/>
      <x:c r="B57" s="28"/>
      <x:c r="C57" s="28"/>
      <x:c r="D57" s="31"/>
      <x:c r="E57" s="28"/>
      <x:c r="F57" s="28"/>
      <x:c r="G57" s="28"/>
      <x:c r="H57" s="28"/>
      <x:c r="I57" s="28"/>
    </x:row>
    <x:row r="58">
      <x:c r="A58" s="28"/>
      <x:c r="B58" s="28"/>
      <x:c r="C58" s="28"/>
      <x:c r="D58" s="31"/>
      <x:c r="E58" s="28"/>
      <x:c r="F58" s="28"/>
      <x:c r="G58" s="28"/>
      <x:c r="H58" s="28"/>
      <x:c r="I58" s="28"/>
    </x:row>
    <x:row r="59">
      <x:c r="A59" s="28"/>
      <x:c r="B59" s="28"/>
      <x:c r="C59" s="28"/>
      <x:c r="D59" s="31"/>
      <x:c r="E59" s="28"/>
      <x:c r="F59" s="28"/>
      <x:c r="G59" s="28"/>
      <x:c r="H59" s="28"/>
      <x:c r="I59" s="28"/>
    </x:row>
    <x:row r="60">
      <x:c r="A60" s="28"/>
      <x:c r="B60" s="28"/>
      <x:c r="C60" s="28"/>
      <x:c r="D60" s="31"/>
      <x:c r="E60" s="28"/>
      <x:c r="F60" s="28"/>
      <x:c r="G60" s="28"/>
      <x:c r="H60" s="28"/>
      <x:c r="I60" s="28"/>
    </x:row>
    <x:row r="61">
      <x:c r="A61" s="28"/>
      <x:c r="B61" s="28"/>
      <x:c r="C61" s="28"/>
      <x:c r="D61" s="31"/>
      <x:c r="E61" s="28"/>
      <x:c r="F61" s="28"/>
      <x:c r="G61" s="28"/>
      <x:c r="H61" s="28"/>
      <x:c r="I61" s="28"/>
    </x:row>
    <x:row r="62">
      <x:c r="A62" s="28"/>
      <x:c r="B62" s="28"/>
      <x:c r="C62" s="28"/>
      <x:c r="D62" s="31"/>
      <x:c r="E62" s="28"/>
      <x:c r="F62" s="28"/>
      <x:c r="G62" s="28"/>
      <x:c r="H62" s="28"/>
      <x:c r="I62" s="28"/>
    </x:row>
    <x:row r="63">
      <x:c r="A63" s="28"/>
      <x:c r="B63" s="28"/>
      <x:c r="C63" s="28"/>
      <x:c r="D63" s="31"/>
      <x:c r="E63" s="28"/>
      <x:c r="F63" s="28"/>
      <x:c r="G63" s="28"/>
      <x:c r="H63" s="28"/>
      <x:c r="I63" s="28"/>
    </x:row>
    <x:row r="64">
      <x:c r="A64" s="28"/>
      <x:c r="B64" s="28"/>
      <x:c r="C64" s="28"/>
      <x:c r="D64" s="31"/>
      <x:c r="E64" s="28"/>
      <x:c r="F64" s="28"/>
      <x:c r="G64" s="28"/>
      <x:c r="H64" s="28"/>
      <x:c r="I64" s="28"/>
    </x:row>
    <x:row r="65">
      <x:c r="A65" s="28"/>
      <x:c r="B65" s="28"/>
      <x:c r="C65" s="28"/>
      <x:c r="D65" s="31"/>
      <x:c r="E65" s="28"/>
      <x:c r="F65" s="28"/>
      <x:c r="G65" s="28"/>
      <x:c r="H65" s="28"/>
      <x:c r="I65" s="28"/>
    </x:row>
    <x:row r="66">
      <x:c r="A66" s="28"/>
      <x:c r="B66" s="28"/>
      <x:c r="C66" s="28"/>
      <x:c r="D66" s="31"/>
      <x:c r="E66" s="28"/>
      <x:c r="F66" s="28"/>
      <x:c r="G66" s="28"/>
      <x:c r="H66" s="28"/>
      <x:c r="I66" s="28"/>
    </x:row>
    <x:row r="67">
      <x:c r="A67" s="28"/>
      <x:c r="B67" s="28"/>
      <x:c r="C67" s="28"/>
      <x:c r="D67" s="31"/>
      <x:c r="E67" s="28"/>
      <x:c r="F67" s="28"/>
      <x:c r="G67" s="28"/>
      <x:c r="H67" s="28"/>
      <x:c r="I67" s="28"/>
    </x:row>
    <x:row r="68">
      <x:c r="A68" s="28"/>
      <x:c r="B68" s="28"/>
      <x:c r="C68" s="28"/>
      <x:c r="D68" s="31"/>
      <x:c r="E68" s="28"/>
      <x:c r="F68" s="28"/>
      <x:c r="G68" s="28"/>
      <x:c r="H68" s="28"/>
      <x:c r="I68" s="28"/>
    </x:row>
    <x:row r="69">
      <x:c r="A69" s="28"/>
      <x:c r="B69" s="28"/>
      <x:c r="C69" s="28"/>
      <x:c r="D69" s="31"/>
      <x:c r="E69" s="28"/>
      <x:c r="F69" s="28"/>
      <x:c r="G69" s="28"/>
      <x:c r="H69" s="28"/>
      <x:c r="I69" s="28"/>
    </x:row>
    <x:row r="70">
      <x:c r="A70" s="28"/>
      <x:c r="B70" s="28"/>
      <x:c r="C70" s="28"/>
      <x:c r="D70" s="31"/>
      <x:c r="E70" s="28"/>
      <x:c r="F70" s="28"/>
      <x:c r="G70" s="28"/>
      <x:c r="H70" s="28"/>
      <x:c r="I70" s="28"/>
    </x:row>
    <x:row r="71">
      <x:c r="A71" s="28"/>
      <x:c r="B71" s="28"/>
      <x:c r="C71" s="28"/>
      <x:c r="D71" s="31"/>
      <x:c r="E71" s="28"/>
      <x:c r="F71" s="28"/>
      <x:c r="G71" s="28"/>
      <x:c r="H71" s="28"/>
      <x:c r="I71" s="28"/>
    </x:row>
    <x:row r="72">
      <x:c r="A72" s="28"/>
      <x:c r="B72" s="28"/>
      <x:c r="C72" s="28"/>
      <x:c r="D72" s="31"/>
      <x:c r="E72" s="28"/>
      <x:c r="F72" s="28"/>
      <x:c r="G72" s="28"/>
      <x:c r="H72" s="28"/>
      <x:c r="I72" s="28"/>
    </x:row>
    <x:row r="73">
      <x:c r="A73" s="28"/>
      <x:c r="B73" s="28"/>
      <x:c r="C73" s="28"/>
      <x:c r="D73" s="31"/>
      <x:c r="E73" s="28"/>
      <x:c r="F73" s="28"/>
      <x:c r="G73" s="28"/>
      <x:c r="H73" s="28"/>
      <x:c r="I73" s="28"/>
    </x:row>
    <x:row r="74">
      <x:c r="A74" s="28"/>
      <x:c r="B74" s="28"/>
      <x:c r="C74" s="28"/>
      <x:c r="D74" s="31"/>
      <x:c r="E74" s="28"/>
      <x:c r="F74" s="28"/>
      <x:c r="G74" s="28"/>
      <x:c r="H74" s="28"/>
      <x:c r="I74" s="28"/>
    </x:row>
    <x:row r="75">
      <x:c r="A75" s="28"/>
      <x:c r="B75" s="28"/>
      <x:c r="C75" s="28"/>
      <x:c r="D75" s="31"/>
      <x:c r="E75" s="28"/>
      <x:c r="F75" s="28"/>
      <x:c r="G75" s="28"/>
      <x:c r="H75" s="28"/>
      <x:c r="I75" s="28"/>
    </x:row>
    <x:row r="76">
      <x:c r="A76" s="28"/>
      <x:c r="B76" s="28"/>
      <x:c r="C76" s="28"/>
      <x:c r="D76" s="31"/>
      <x:c r="E76" s="28"/>
      <x:c r="F76" s="28"/>
      <x:c r="G76" s="28"/>
      <x:c r="H76" s="28"/>
      <x:c r="I76" s="28"/>
    </x:row>
    <x:row r="77">
      <x:c r="A77" s="28"/>
      <x:c r="B77" s="28"/>
      <x:c r="C77" s="28"/>
      <x:c r="D77" s="31"/>
      <x:c r="E77" s="28"/>
      <x:c r="F77" s="28"/>
      <x:c r="G77" s="28"/>
      <x:c r="H77" s="28"/>
      <x:c r="I77" s="28"/>
    </x:row>
    <x:row r="78">
      <x:c r="A78" s="28"/>
      <x:c r="B78" s="28"/>
      <x:c r="C78" s="28"/>
      <x:c r="D78" s="31"/>
      <x:c r="E78" s="28"/>
      <x:c r="F78" s="28"/>
      <x:c r="G78" s="28"/>
      <x:c r="H78" s="28"/>
      <x:c r="I78" s="28"/>
    </x:row>
    <x:row r="79">
      <x:c r="A79" s="28"/>
      <x:c r="B79" s="28"/>
      <x:c r="C79" s="28"/>
      <x:c r="D79" s="31"/>
      <x:c r="E79" s="28"/>
      <x:c r="F79" s="28"/>
      <x:c r="G79" s="28"/>
      <x:c r="H79" s="28"/>
      <x:c r="I79" s="28"/>
    </x:row>
    <x:row r="80">
      <x:c r="A80" s="28"/>
      <x:c r="B80" s="28"/>
      <x:c r="C80" s="28"/>
      <x:c r="D80" s="31"/>
      <x:c r="E80" s="28"/>
      <x:c r="F80" s="28"/>
      <x:c r="G80" s="28"/>
      <x:c r="H80" s="28"/>
      <x:c r="I80" s="28"/>
    </x:row>
    <x:row r="81">
      <x:c r="A81" s="28"/>
      <x:c r="B81" s="28"/>
      <x:c r="C81" s="28"/>
      <x:c r="D81" s="31"/>
      <x:c r="E81" s="28"/>
      <x:c r="F81" s="28"/>
      <x:c r="G81" s="28"/>
      <x:c r="H81" s="28"/>
      <x:c r="I81" s="28"/>
    </x:row>
    <x:row r="82">
      <x:c r="A82" s="28"/>
      <x:c r="B82" s="28"/>
      <x:c r="C82" s="28"/>
      <x:c r="D82" s="31"/>
      <x:c r="E82" s="28"/>
      <x:c r="F82" s="28"/>
      <x:c r="G82" s="28"/>
      <x:c r="H82" s="28"/>
      <x:c r="I82" s="28"/>
    </x:row>
    <x:row r="83">
      <x:c r="A83" s="28"/>
      <x:c r="B83" s="28"/>
      <x:c r="C83" s="28"/>
      <x:c r="D83" s="31"/>
      <x:c r="E83" s="28"/>
      <x:c r="F83" s="28"/>
      <x:c r="G83" s="28"/>
      <x:c r="H83" s="28"/>
      <x:c r="I83" s="28"/>
    </x:row>
    <x:row r="84">
      <x:c r="A84" s="28"/>
      <x:c r="B84" s="28"/>
      <x:c r="C84" s="28"/>
      <x:c r="D84" s="31"/>
      <x:c r="E84" s="28"/>
      <x:c r="F84" s="28"/>
      <x:c r="G84" s="28"/>
      <x:c r="H84" s="28"/>
      <x:c r="I84" s="28"/>
    </x:row>
    <x:row r="85">
      <x:c r="A85" s="28"/>
      <x:c r="B85" s="28"/>
      <x:c r="C85" s="28"/>
      <x:c r="D85" s="31"/>
      <x:c r="E85" s="28"/>
      <x:c r="F85" s="28"/>
      <x:c r="G85" s="28"/>
      <x:c r="H85" s="28"/>
      <x:c r="I85" s="28"/>
    </x:row>
    <x:row r="86">
      <x:c r="A86" s="28"/>
      <x:c r="B86" s="28"/>
      <x:c r="C86" s="28"/>
      <x:c r="D86" s="31"/>
      <x:c r="E86" s="28"/>
      <x:c r="F86" s="28"/>
      <x:c r="G86" s="28"/>
      <x:c r="H86" s="28"/>
      <x:c r="I86" s="28"/>
    </x:row>
    <x:row r="87">
      <x:c r="A87" s="28"/>
      <x:c r="B87" s="28"/>
      <x:c r="C87" s="28"/>
      <x:c r="D87" s="31"/>
      <x:c r="E87" s="28"/>
      <x:c r="F87" s="28"/>
      <x:c r="G87" s="28"/>
      <x:c r="H87" s="28"/>
      <x:c r="I87" s="28"/>
    </x:row>
    <x:row r="88">
      <x:c r="A88" s="28"/>
      <x:c r="B88" s="28"/>
      <x:c r="C88" s="28"/>
      <x:c r="D88" s="31"/>
      <x:c r="E88" s="28"/>
      <x:c r="F88" s="28"/>
      <x:c r="G88" s="28"/>
      <x:c r="H88" s="28"/>
      <x:c r="I88" s="28"/>
    </x:row>
    <x:row r="89">
      <x:c r="A89" s="28"/>
      <x:c r="B89" s="28"/>
      <x:c r="C89" s="28"/>
      <x:c r="D89" s="31"/>
      <x:c r="E89" s="28"/>
      <x:c r="F89" s="28"/>
      <x:c r="G89" s="28"/>
      <x:c r="H89" s="28"/>
      <x:c r="I89" s="28"/>
    </x:row>
    <x:row r="90">
      <x:c r="A90" s="28"/>
      <x:c r="B90" s="28"/>
      <x:c r="C90" s="28"/>
      <x:c r="D90" s="31"/>
      <x:c r="E90" s="28"/>
      <x:c r="F90" s="28"/>
      <x:c r="G90" s="28"/>
      <x:c r="H90" s="28"/>
      <x:c r="I90" s="28"/>
    </x:row>
    <x:row r="91">
      <x:c r="A91" s="28"/>
      <x:c r="B91" s="28"/>
      <x:c r="C91" s="28"/>
      <x:c r="D91" s="31"/>
      <x:c r="E91" s="28"/>
      <x:c r="F91" s="28"/>
      <x:c r="G91" s="28"/>
      <x:c r="H91" s="28"/>
      <x:c r="I91" s="28"/>
    </x:row>
    <x:row r="92">
      <x:c r="A92" s="28"/>
      <x:c r="B92" s="28"/>
      <x:c r="C92" s="28"/>
      <x:c r="D92" s="31"/>
      <x:c r="E92" s="28"/>
      <x:c r="F92" s="28"/>
      <x:c r="G92" s="28"/>
      <x:c r="H92" s="28"/>
      <x:c r="I92" s="28"/>
    </x:row>
    <x:row r="93">
      <x:c r="A93" s="28"/>
      <x:c r="B93" s="28"/>
      <x:c r="C93" s="28"/>
      <x:c r="D93" s="31"/>
      <x:c r="E93" s="28"/>
      <x:c r="F93" s="28"/>
      <x:c r="G93" s="28"/>
      <x:c r="H93" s="28"/>
      <x:c r="I93" s="28"/>
    </x:row>
    <x:row r="94">
      <x:c r="A94" s="28"/>
      <x:c r="B94" s="28"/>
      <x:c r="C94" s="28"/>
      <x:c r="D94" s="31"/>
      <x:c r="E94" s="28"/>
      <x:c r="F94" s="28"/>
      <x:c r="G94" s="28"/>
      <x:c r="H94" s="28"/>
      <x:c r="I94" s="28"/>
    </x:row>
    <x:row r="95">
      <x:c r="A95" s="28"/>
      <x:c r="B95" s="28"/>
      <x:c r="C95" s="28"/>
      <x:c r="D95" s="31"/>
      <x:c r="E95" s="28"/>
      <x:c r="F95" s="28"/>
      <x:c r="G95" s="28"/>
      <x:c r="H95" s="28"/>
      <x:c r="I95" s="28"/>
    </x:row>
    <x:row r="96">
      <x:c r="A96" s="28"/>
      <x:c r="B96" s="28"/>
      <x:c r="C96" s="28"/>
      <x:c r="D96" s="31"/>
      <x:c r="E96" s="28"/>
      <x:c r="F96" s="28"/>
      <x:c r="G96" s="28"/>
      <x:c r="H96" s="28"/>
      <x:c r="I96" s="28"/>
    </x:row>
    <x:row r="97">
      <x:c r="A97" s="28"/>
      <x:c r="B97" s="28"/>
      <x:c r="C97" s="28"/>
      <x:c r="D97" s="31"/>
      <x:c r="E97" s="28"/>
      <x:c r="F97" s="28"/>
      <x:c r="G97" s="28"/>
      <x:c r="H97" s="28"/>
      <x:c r="I97" s="28"/>
    </x:row>
    <x:row r="98">
      <x:c r="A98" s="28"/>
      <x:c r="B98" s="28"/>
      <x:c r="C98" s="28"/>
      <x:c r="D98" s="31"/>
      <x:c r="E98" s="28"/>
      <x:c r="F98" s="28"/>
      <x:c r="G98" s="28"/>
      <x:c r="H98" s="28"/>
      <x:c r="I98" s="28"/>
    </x:row>
    <x:row r="99">
      <x:c r="A99" s="28"/>
      <x:c r="B99" s="28"/>
      <x:c r="C99" s="28"/>
      <x:c r="D99" s="31"/>
      <x:c r="E99" s="28"/>
      <x:c r="F99" s="28"/>
      <x:c r="G99" s="28"/>
      <x:c r="H99" s="28"/>
      <x:c r="I99" s="28"/>
    </x:row>
    <x:row r="100">
      <x:c r="A100" s="28"/>
      <x:c r="B100" s="28"/>
      <x:c r="C100" s="28"/>
      <x:c r="D100" s="31"/>
      <x:c r="E100" s="28"/>
      <x:c r="F100" s="28"/>
      <x:c r="G100" s="28"/>
      <x:c r="H100" s="28"/>
      <x:c r="I100" s="28"/>
    </x:row>
    <x:row r="101">
      <x:c r="A101" s="28"/>
      <x:c r="B101" s="28"/>
      <x:c r="C101" s="28"/>
      <x:c r="D101" s="31"/>
      <x:c r="E101" s="28"/>
      <x:c r="F101" s="28"/>
      <x:c r="G101" s="28"/>
      <x:c r="H101" s="28"/>
      <x:c r="I101" s="28"/>
    </x:row>
    <x:row r="102">
      <x:c r="A102" s="28"/>
      <x:c r="B102" s="28"/>
      <x:c r="C102" s="28"/>
      <x:c r="D102" s="31"/>
      <x:c r="E102" s="28"/>
      <x:c r="F102" s="28"/>
      <x:c r="G102" s="28"/>
      <x:c r="H102" s="28"/>
      <x:c r="I102" s="28"/>
    </x:row>
    <x:row r="103">
      <x:c r="A103" s="28"/>
      <x:c r="B103" s="28"/>
      <x:c r="C103" s="28"/>
      <x:c r="D103" s="31"/>
      <x:c r="E103" s="28"/>
      <x:c r="F103" s="28"/>
      <x:c r="G103" s="28"/>
      <x:c r="H103" s="28"/>
      <x:c r="I103" s="28"/>
    </x:row>
    <x:row r="104">
      <x:c r="A104" s="28"/>
      <x:c r="B104" s="28"/>
      <x:c r="C104" s="28"/>
      <x:c r="D104" s="31"/>
      <x:c r="E104" s="28"/>
      <x:c r="F104" s="28"/>
      <x:c r="G104" s="28"/>
      <x:c r="H104" s="28"/>
      <x:c r="I104" s="28"/>
    </x:row>
    <x:row r="105">
      <x:c r="A105" s="28"/>
      <x:c r="B105" s="28"/>
      <x:c r="C105" s="28"/>
      <x:c r="D105" s="31"/>
      <x:c r="E105" s="28"/>
      <x:c r="F105" s="28"/>
      <x:c r="G105" s="28"/>
      <x:c r="H105" s="28"/>
      <x:c r="I105" s="28"/>
    </x:row>
    <x:row r="106">
      <x:c r="A106" s="28"/>
      <x:c r="B106" s="28"/>
      <x:c r="C106" s="28"/>
      <x:c r="D106" s="31"/>
      <x:c r="E106" s="28"/>
      <x:c r="F106" s="28"/>
      <x:c r="G106" s="28"/>
      <x:c r="H106" s="28"/>
      <x:c r="I106" s="28"/>
    </x:row>
    <x:row r="107">
      <x:c r="A107" s="28"/>
      <x:c r="B107" s="28"/>
      <x:c r="C107" s="28"/>
      <x:c r="D107" s="31"/>
      <x:c r="E107" s="28"/>
      <x:c r="F107" s="28"/>
      <x:c r="G107" s="28"/>
      <x:c r="H107" s="28"/>
      <x:c r="I107" s="28"/>
    </x:row>
    <x:row r="108">
      <x:c r="A108" s="28"/>
      <x:c r="B108" s="28"/>
      <x:c r="C108" s="28"/>
      <x:c r="D108" s="31"/>
      <x:c r="E108" s="28"/>
      <x:c r="F108" s="28"/>
      <x:c r="G108" s="28"/>
      <x:c r="H108" s="28"/>
      <x:c r="I108" s="28"/>
    </x:row>
    <x:row r="109">
      <x:c r="A109" s="28"/>
      <x:c r="B109" s="28"/>
      <x:c r="C109" s="28"/>
      <x:c r="D109" s="31"/>
      <x:c r="E109" s="28"/>
      <x:c r="F109" s="28"/>
      <x:c r="G109" s="28"/>
      <x:c r="H109" s="28"/>
      <x:c r="I109" s="28"/>
    </x:row>
    <x:row r="110">
      <x:c r="A110" s="28"/>
      <x:c r="B110" s="28"/>
      <x:c r="C110" s="28"/>
      <x:c r="D110" s="31"/>
      <x:c r="E110" s="28"/>
      <x:c r="F110" s="28"/>
      <x:c r="G110" s="28"/>
      <x:c r="H110" s="28"/>
      <x:c r="I110" s="28"/>
    </x:row>
    <x:row r="111">
      <x:c r="A111" s="28"/>
      <x:c r="B111" s="28"/>
      <x:c r="C111" s="28"/>
      <x:c r="D111" s="31"/>
      <x:c r="E111" s="28"/>
      <x:c r="F111" s="28"/>
      <x:c r="G111" s="28"/>
      <x:c r="H111" s="28"/>
      <x:c r="I111" s="28"/>
    </x:row>
    <x:row r="112">
      <x:c r="A112" s="28"/>
      <x:c r="B112" s="28"/>
      <x:c r="C112" s="28"/>
      <x:c r="D112" s="31"/>
      <x:c r="E112" s="28"/>
      <x:c r="F112" s="28"/>
      <x:c r="G112" s="28"/>
      <x:c r="H112" s="28"/>
      <x:c r="I112" s="28"/>
    </x:row>
    <x:row r="113">
      <x:c r="A113" s="28"/>
      <x:c r="B113" s="28"/>
      <x:c r="C113" s="28"/>
      <x:c r="D113" s="31"/>
      <x:c r="E113" s="28"/>
      <x:c r="F113" s="28"/>
      <x:c r="G113" s="28"/>
      <x:c r="H113" s="28"/>
      <x:c r="I113" s="28"/>
    </x:row>
    <x:row r="114">
      <x:c r="A114" s="28"/>
      <x:c r="B114" s="28"/>
      <x:c r="C114" s="28"/>
      <x:c r="D114" s="31"/>
      <x:c r="E114" s="28"/>
      <x:c r="F114" s="28"/>
      <x:c r="G114" s="28"/>
      <x:c r="H114" s="28"/>
      <x:c r="I114" s="28"/>
    </x:row>
    <x:row r="115">
      <x:c r="A115" s="28"/>
      <x:c r="B115" s="28"/>
      <x:c r="C115" s="28"/>
      <x:c r="D115" s="31"/>
      <x:c r="E115" s="28"/>
      <x:c r="F115" s="28"/>
      <x:c r="G115" s="28"/>
      <x:c r="H115" s="28"/>
      <x:c r="I115" s="28"/>
    </x:row>
    <x:row r="116">
      <x:c r="A116" s="28"/>
      <x:c r="B116" s="28"/>
      <x:c r="C116" s="28"/>
      <x:c r="D116" s="31"/>
      <x:c r="E116" s="28"/>
      <x:c r="F116" s="28"/>
      <x:c r="G116" s="28"/>
      <x:c r="H116" s="28"/>
      <x:c r="I116" s="28"/>
    </x:row>
    <x:row r="117">
      <x:c r="A117" s="28"/>
      <x:c r="B117" s="28"/>
      <x:c r="C117" s="28"/>
      <x:c r="D117" s="31"/>
      <x:c r="E117" s="28"/>
      <x:c r="F117" s="28"/>
      <x:c r="G117" s="28"/>
      <x:c r="H117" s="28"/>
      <x:c r="I117" s="28"/>
    </x:row>
    <x:row r="118">
      <x:c r="A118" s="28"/>
      <x:c r="B118" s="28"/>
      <x:c r="C118" s="28"/>
      <x:c r="D118" s="31"/>
      <x:c r="E118" s="28"/>
      <x:c r="F118" s="28"/>
      <x:c r="G118" s="28"/>
      <x:c r="H118" s="28"/>
      <x:c r="I118" s="28"/>
    </x:row>
    <x:row r="119">
      <x:c r="A119" s="28"/>
      <x:c r="B119" s="28"/>
      <x:c r="C119" s="28"/>
      <x:c r="D119" s="31"/>
      <x:c r="E119" s="28"/>
      <x:c r="F119" s="28"/>
      <x:c r="G119" s="28"/>
      <x:c r="H119" s="28"/>
      <x:c r="I119" s="28"/>
    </x:row>
    <x:row r="120">
      <x:c r="A120" s="28"/>
      <x:c r="B120" s="28"/>
      <x:c r="C120" s="28"/>
      <x:c r="D120" s="31"/>
      <x:c r="E120" s="28"/>
      <x:c r="F120" s="28"/>
      <x:c r="G120" s="28"/>
      <x:c r="H120" s="28"/>
      <x:c r="I120" s="28"/>
    </x:row>
    <x:row r="121">
      <x:c r="A121" s="28"/>
      <x:c r="B121" s="28"/>
      <x:c r="C121" s="28"/>
      <x:c r="D121" s="31"/>
      <x:c r="E121" s="28"/>
      <x:c r="F121" s="28"/>
      <x:c r="G121" s="28"/>
      <x:c r="H121" s="28"/>
      <x:c r="I121" s="28"/>
    </x:row>
    <x:row r="122">
      <x:c r="A122" s="28"/>
      <x:c r="B122" s="28"/>
      <x:c r="C122" s="28"/>
      <x:c r="D122" s="31"/>
      <x:c r="E122" s="28"/>
      <x:c r="F122" s="28"/>
      <x:c r="G122" s="28"/>
      <x:c r="H122" s="28"/>
      <x:c r="I122" s="28"/>
    </x:row>
    <x:row r="123">
      <x:c r="A123" s="28"/>
      <x:c r="B123" s="28"/>
      <x:c r="C123" s="28"/>
      <x:c r="D123" s="31"/>
      <x:c r="E123" s="28"/>
      <x:c r="F123" s="28"/>
      <x:c r="G123" s="28"/>
      <x:c r="H123" s="28"/>
      <x:c r="I123" s="28"/>
    </x:row>
    <x:row r="124">
      <x:c r="A124" s="28"/>
      <x:c r="B124" s="28"/>
      <x:c r="C124" s="28"/>
      <x:c r="D124" s="31"/>
      <x:c r="E124" s="28"/>
      <x:c r="F124" s="28"/>
      <x:c r="G124" s="28"/>
      <x:c r="H124" s="28"/>
      <x:c r="I124" s="28"/>
    </x:row>
    <x:row r="125">
      <x:c r="A125" s="28"/>
      <x:c r="B125" s="28"/>
      <x:c r="C125" s="28"/>
      <x:c r="D125" s="31"/>
      <x:c r="E125" s="28"/>
      <x:c r="F125" s="28"/>
      <x:c r="G125" s="28"/>
      <x:c r="H125" s="28"/>
      <x:c r="I125" s="28"/>
    </x:row>
    <x:row r="126">
      <x:c r="A126" s="28"/>
      <x:c r="B126" s="28"/>
      <x:c r="C126" s="28"/>
      <x:c r="D126" s="31"/>
      <x:c r="E126" s="28"/>
      <x:c r="F126" s="28"/>
      <x:c r="G126" s="28"/>
      <x:c r="H126" s="28"/>
      <x:c r="I126" s="28"/>
    </x:row>
    <x:row r="127">
      <x:c r="A127" s="28"/>
      <x:c r="B127" s="28"/>
      <x:c r="C127" s="28"/>
      <x:c r="D127" s="31"/>
      <x:c r="E127" s="28"/>
      <x:c r="F127" s="28"/>
      <x:c r="G127" s="28"/>
      <x:c r="H127" s="28"/>
      <x:c r="I127" s="28"/>
    </x:row>
    <x:row r="128">
      <x:c r="A128" s="28"/>
      <x:c r="B128" s="28"/>
      <x:c r="C128" s="28"/>
      <x:c r="D128" s="31"/>
      <x:c r="E128" s="28"/>
      <x:c r="F128" s="28"/>
      <x:c r="G128" s="28"/>
      <x:c r="H128" s="28"/>
      <x:c r="I128" s="28"/>
    </x:row>
    <x:row r="129">
      <x:c r="A129" s="28"/>
      <x:c r="B129" s="28"/>
      <x:c r="C129" s="28"/>
      <x:c r="D129" s="31"/>
      <x:c r="E129" s="28"/>
      <x:c r="F129" s="28"/>
      <x:c r="G129" s="28"/>
      <x:c r="H129" s="28"/>
      <x:c r="I129" s="28"/>
    </x:row>
    <x:row r="130">
      <x:c r="A130" s="28"/>
      <x:c r="B130" s="28"/>
      <x:c r="C130" s="28"/>
      <x:c r="D130" s="31"/>
      <x:c r="E130" s="28"/>
      <x:c r="F130" s="28"/>
      <x:c r="G130" s="28"/>
      <x:c r="H130" s="28"/>
      <x:c r="I130" s="28"/>
    </x:row>
    <x:row r="131">
      <x:c r="A131" s="28"/>
      <x:c r="B131" s="28"/>
      <x:c r="C131" s="28"/>
      <x:c r="D131" s="31"/>
      <x:c r="E131" s="28"/>
      <x:c r="F131" s="28"/>
      <x:c r="G131" s="28"/>
      <x:c r="H131" s="28"/>
      <x:c r="I131" s="28"/>
    </x:row>
    <x:row r="132">
      <x:c r="A132" s="28"/>
      <x:c r="B132" s="28"/>
      <x:c r="C132" s="28"/>
      <x:c r="D132" s="31"/>
      <x:c r="E132" s="28"/>
      <x:c r="F132" s="28"/>
      <x:c r="G132" s="28"/>
      <x:c r="H132" s="28"/>
      <x:c r="I132" s="28"/>
    </x:row>
    <x:row r="133">
      <x:c r="A133" s="28"/>
      <x:c r="B133" s="28"/>
      <x:c r="C133" s="28"/>
      <x:c r="D133" s="31"/>
      <x:c r="E133" s="28"/>
      <x:c r="F133" s="28"/>
      <x:c r="G133" s="28"/>
      <x:c r="H133" s="28"/>
      <x:c r="I133" s="28"/>
    </x:row>
    <x:row r="134">
      <x:c r="A134" s="28"/>
      <x:c r="B134" s="28"/>
      <x:c r="C134" s="28"/>
      <x:c r="D134" s="31"/>
      <x:c r="E134" s="28"/>
      <x:c r="F134" s="28"/>
      <x:c r="G134" s="28"/>
      <x:c r="H134" s="28"/>
      <x:c r="I134" s="28"/>
    </x:row>
    <x:row r="135">
      <x:c r="A135" s="28"/>
      <x:c r="B135" s="28"/>
      <x:c r="C135" s="28"/>
      <x:c r="D135" s="31"/>
      <x:c r="E135" s="28"/>
      <x:c r="F135" s="28"/>
      <x:c r="G135" s="28"/>
      <x:c r="H135" s="28"/>
      <x:c r="I135" s="28"/>
    </x:row>
    <x:row r="136">
      <x:c r="A136" s="28"/>
      <x:c r="B136" s="28"/>
      <x:c r="C136" s="28"/>
      <x:c r="D136" s="31"/>
      <x:c r="E136" s="28"/>
      <x:c r="F136" s="28"/>
      <x:c r="G136" s="28"/>
      <x:c r="H136" s="28"/>
      <x:c r="I136" s="28"/>
    </x:row>
    <x:row r="137">
      <x:c r="A137" s="28"/>
      <x:c r="B137" s="28"/>
      <x:c r="C137" s="28"/>
      <x:c r="D137" s="31"/>
      <x:c r="E137" s="28"/>
      <x:c r="F137" s="28"/>
      <x:c r="G137" s="28"/>
      <x:c r="H137" s="28"/>
      <x:c r="I137" s="28"/>
    </x:row>
    <x:row r="138">
      <x:c r="A138" s="28"/>
      <x:c r="B138" s="28"/>
      <x:c r="C138" s="28"/>
      <x:c r="D138" s="31"/>
      <x:c r="E138" s="28"/>
      <x:c r="F138" s="28"/>
      <x:c r="G138" s="28"/>
      <x:c r="H138" s="28"/>
      <x:c r="I138" s="28"/>
    </x:row>
    <x:row r="139">
      <x:c r="A139" s="28"/>
      <x:c r="B139" s="28"/>
      <x:c r="C139" s="28"/>
      <x:c r="D139" s="31"/>
      <x:c r="E139" s="28"/>
      <x:c r="F139" s="28"/>
      <x:c r="G139" s="28"/>
      <x:c r="H139" s="28"/>
      <x:c r="I139" s="28"/>
    </x:row>
    <x:row r="140">
      <x:c r="A140" s="28"/>
      <x:c r="B140" s="28"/>
      <x:c r="C140" s="28"/>
      <x:c r="D140" s="31"/>
      <x:c r="E140" s="28"/>
      <x:c r="F140" s="28"/>
      <x:c r="G140" s="28"/>
      <x:c r="H140" s="28"/>
      <x:c r="I140" s="28"/>
    </x:row>
    <x:row r="141">
      <x:c r="A141" s="28"/>
      <x:c r="B141" s="28"/>
      <x:c r="C141" s="28"/>
      <x:c r="D141" s="31"/>
      <x:c r="E141" s="28"/>
      <x:c r="F141" s="28"/>
      <x:c r="G141" s="28"/>
      <x:c r="H141" s="28"/>
      <x:c r="I141" s="28"/>
    </x:row>
    <x:row r="142">
      <x:c r="A142" s="28"/>
      <x:c r="B142" s="28"/>
      <x:c r="C142" s="28"/>
      <x:c r="D142" s="31"/>
      <x:c r="E142" s="28"/>
      <x:c r="F142" s="28"/>
      <x:c r="G142" s="28"/>
      <x:c r="H142" s="28"/>
      <x:c r="I142" s="28"/>
    </x:row>
    <x:row r="143">
      <x:c r="A143" s="28"/>
      <x:c r="B143" s="28"/>
      <x:c r="C143" s="28"/>
      <x:c r="D143" s="31"/>
      <x:c r="E143" s="28"/>
      <x:c r="F143" s="28"/>
      <x:c r="G143" s="28"/>
      <x:c r="H143" s="28"/>
      <x:c r="I143" s="28"/>
    </x:row>
    <x:row r="144">
      <x:c r="A144" s="28"/>
      <x:c r="B144" s="28"/>
      <x:c r="C144" s="28"/>
      <x:c r="D144" s="31"/>
      <x:c r="E144" s="28"/>
      <x:c r="F144" s="28"/>
      <x:c r="G144" s="28"/>
      <x:c r="H144" s="28"/>
      <x:c r="I144" s="28"/>
    </x:row>
    <x:row r="145">
      <x:c r="A145" s="28"/>
      <x:c r="B145" s="28"/>
      <x:c r="C145" s="28"/>
      <x:c r="D145" s="31"/>
      <x:c r="E145" s="28"/>
      <x:c r="F145" s="28"/>
      <x:c r="G145" s="28"/>
      <x:c r="H145" s="28"/>
      <x:c r="I145" s="28"/>
    </x:row>
    <x:row r="146">
      <x:c r="A146" s="28"/>
      <x:c r="B146" s="28"/>
      <x:c r="C146" s="28"/>
      <x:c r="D146" s="31"/>
      <x:c r="E146" s="28"/>
      <x:c r="F146" s="28"/>
      <x:c r="G146" s="28"/>
      <x:c r="H146" s="28"/>
      <x:c r="I146" s="28"/>
    </x:row>
    <x:row r="147">
      <x:c r="A147" s="28"/>
      <x:c r="B147" s="28"/>
      <x:c r="C147" s="28"/>
      <x:c r="D147" s="31"/>
      <x:c r="E147" s="28"/>
      <x:c r="F147" s="28"/>
      <x:c r="G147" s="28"/>
      <x:c r="H147" s="28"/>
      <x:c r="I147" s="28"/>
    </x:row>
    <x:row r="148">
      <x:c r="A148" s="28"/>
      <x:c r="B148" s="28"/>
      <x:c r="C148" s="28"/>
      <x:c r="D148" s="31"/>
      <x:c r="E148" s="28"/>
      <x:c r="F148" s="28"/>
      <x:c r="G148" s="28"/>
      <x:c r="H148" s="28"/>
      <x:c r="I148" s="28"/>
    </x:row>
    <x:row r="149">
      <x:c r="A149" s="28"/>
      <x:c r="B149" s="28"/>
      <x:c r="C149" s="28"/>
      <x:c r="D149" s="31"/>
      <x:c r="E149" s="28"/>
      <x:c r="F149" s="28"/>
      <x:c r="G149" s="28"/>
      <x:c r="H149" s="28"/>
      <x:c r="I149" s="28"/>
    </x:row>
    <x:row r="150">
      <x:c r="A150" s="28"/>
      <x:c r="B150" s="28"/>
      <x:c r="C150" s="28"/>
      <x:c r="D150" s="31"/>
      <x:c r="E150" s="28"/>
      <x:c r="F150" s="28"/>
      <x:c r="G150" s="28"/>
      <x:c r="H150" s="28"/>
      <x:c r="I150" s="28"/>
    </x:row>
    <x:row r="151">
      <x:c r="A151" s="28"/>
      <x:c r="B151" s="28"/>
      <x:c r="C151" s="28"/>
      <x:c r="D151" s="31"/>
      <x:c r="E151" s="28"/>
      <x:c r="F151" s="28"/>
      <x:c r="G151" s="28"/>
      <x:c r="H151" s="28"/>
      <x:c r="I151" s="28"/>
    </x:row>
    <x:row r="152">
      <x:c r="A152" s="28"/>
      <x:c r="B152" s="28"/>
      <x:c r="C152" s="28"/>
      <x:c r="D152" s="31"/>
      <x:c r="E152" s="28"/>
      <x:c r="F152" s="28"/>
      <x:c r="G152" s="28"/>
      <x:c r="H152" s="28"/>
      <x:c r="I152" s="28"/>
    </x:row>
    <x:row r="153">
      <x:c r="A153" s="28"/>
      <x:c r="B153" s="28"/>
      <x:c r="C153" s="28"/>
      <x:c r="D153" s="31"/>
      <x:c r="E153" s="28"/>
      <x:c r="F153" s="28"/>
      <x:c r="G153" s="28"/>
      <x:c r="H153" s="28"/>
      <x:c r="I153" s="28"/>
    </x:row>
    <x:row r="154">
      <x:c r="A154" s="28"/>
      <x:c r="B154" s="28"/>
      <x:c r="C154" s="28"/>
      <x:c r="D154" s="31"/>
      <x:c r="E154" s="28"/>
      <x:c r="F154" s="28"/>
      <x:c r="G154" s="28"/>
      <x:c r="H154" s="28"/>
      <x:c r="I154" s="28"/>
    </x:row>
    <x:row r="155">
      <x:c r="A155" s="28"/>
      <x:c r="B155" s="28"/>
      <x:c r="C155" s="28"/>
      <x:c r="D155" s="31"/>
      <x:c r="E155" s="28"/>
      <x:c r="F155" s="28"/>
      <x:c r="G155" s="28"/>
      <x:c r="H155" s="28"/>
      <x:c r="I155" s="28"/>
    </x:row>
    <x:row r="156">
      <x:c r="A156" s="28"/>
      <x:c r="B156" s="28"/>
      <x:c r="C156" s="28"/>
      <x:c r="D156" s="31"/>
      <x:c r="E156" s="28"/>
      <x:c r="F156" s="28"/>
      <x:c r="G156" s="28"/>
      <x:c r="H156" s="28"/>
      <x:c r="I156" s="28"/>
    </x:row>
    <x:row r="157">
      <x:c r="A157" s="28"/>
      <x:c r="B157" s="28"/>
      <x:c r="C157" s="28"/>
      <x:c r="D157" s="31"/>
      <x:c r="E157" s="28"/>
      <x:c r="F157" s="28"/>
      <x:c r="G157" s="28"/>
      <x:c r="H157" s="28"/>
      <x:c r="I157" s="28"/>
    </x:row>
    <x:row r="158">
      <x:c r="A158" s="28"/>
      <x:c r="B158" s="28"/>
      <x:c r="C158" s="28"/>
      <x:c r="D158" s="31"/>
      <x:c r="E158" s="28"/>
      <x:c r="F158" s="28"/>
      <x:c r="G158" s="28"/>
      <x:c r="H158" s="28"/>
      <x:c r="I158" s="28"/>
    </x:row>
    <x:row r="159">
      <x:c r="A159" s="28"/>
      <x:c r="B159" s="28"/>
      <x:c r="C159" s="28"/>
      <x:c r="D159" s="31"/>
      <x:c r="E159" s="28"/>
      <x:c r="F159" s="28"/>
      <x:c r="G159" s="28"/>
      <x:c r="H159" s="28"/>
      <x:c r="I159" s="28"/>
    </x:row>
    <x:row r="160">
      <x:c r="A160" s="28"/>
      <x:c r="B160" s="28"/>
      <x:c r="C160" s="28"/>
      <x:c r="D160" s="31"/>
      <x:c r="E160" s="28"/>
      <x:c r="F160" s="28"/>
      <x:c r="G160" s="28"/>
      <x:c r="H160" s="28"/>
      <x:c r="I160" s="28"/>
    </x:row>
    <x:row r="161">
      <x:c r="A161" s="28"/>
      <x:c r="B161" s="28"/>
      <x:c r="C161" s="28"/>
      <x:c r="D161" s="31"/>
      <x:c r="E161" s="28"/>
      <x:c r="F161" s="28"/>
      <x:c r="G161" s="28"/>
      <x:c r="H161" s="28"/>
      <x:c r="I161" s="28"/>
    </x:row>
    <x:row r="162">
      <x:c r="A162" s="28"/>
      <x:c r="B162" s="28"/>
      <x:c r="C162" s="28"/>
      <x:c r="D162" s="31"/>
      <x:c r="E162" s="28"/>
      <x:c r="F162" s="28"/>
      <x:c r="G162" s="28"/>
      <x:c r="H162" s="28"/>
      <x:c r="I162" s="28"/>
    </x:row>
    <x:row r="163">
      <x:c r="A163" s="28"/>
      <x:c r="B163" s="28"/>
      <x:c r="C163" s="28"/>
      <x:c r="D163" s="31"/>
      <x:c r="E163" s="28"/>
      <x:c r="F163" s="28"/>
      <x:c r="G163" s="28"/>
      <x:c r="H163" s="28"/>
      <x:c r="I163" s="28"/>
    </x:row>
    <x:row r="164">
      <x:c r="A164" s="28"/>
      <x:c r="B164" s="28"/>
      <x:c r="C164" s="28"/>
      <x:c r="D164" s="31"/>
      <x:c r="E164" s="28"/>
      <x:c r="F164" s="28"/>
      <x:c r="G164" s="28"/>
      <x:c r="H164" s="28"/>
      <x:c r="I164" s="28"/>
    </x:row>
    <x:row r="165">
      <x:c r="A165" s="28"/>
      <x:c r="B165" s="28"/>
      <x:c r="C165" s="28"/>
      <x:c r="D165" s="31"/>
      <x:c r="E165" s="28"/>
      <x:c r="F165" s="28"/>
      <x:c r="G165" s="28"/>
      <x:c r="H165" s="28"/>
      <x:c r="I165" s="28"/>
    </x:row>
    <x:row r="166">
      <x:c r="A166" s="28"/>
      <x:c r="B166" s="28"/>
      <x:c r="C166" s="28"/>
      <x:c r="D166" s="31"/>
      <x:c r="E166" s="28"/>
      <x:c r="F166" s="28"/>
      <x:c r="G166" s="28"/>
      <x:c r="H166" s="28"/>
      <x:c r="I166" s="28"/>
    </x:row>
    <x:row r="167">
      <x:c r="A167" s="28"/>
      <x:c r="B167" s="28"/>
      <x:c r="C167" s="28"/>
      <x:c r="D167" s="31"/>
      <x:c r="E167" s="28"/>
      <x:c r="F167" s="28"/>
      <x:c r="G167" s="28"/>
      <x:c r="H167" s="28"/>
      <x:c r="I167" s="28"/>
    </x:row>
    <x:row r="168">
      <x:c r="A168" s="28"/>
      <x:c r="B168" s="28"/>
      <x:c r="C168" s="28"/>
      <x:c r="D168" s="31"/>
      <x:c r="E168" s="28"/>
      <x:c r="F168" s="28"/>
      <x:c r="G168" s="28"/>
      <x:c r="H168" s="28"/>
      <x:c r="I168" s="28"/>
    </x:row>
    <x:row r="169">
      <x:c r="A169" s="28"/>
      <x:c r="B169" s="28"/>
      <x:c r="C169" s="28"/>
      <x:c r="D169" s="31"/>
      <x:c r="E169" s="28"/>
      <x:c r="F169" s="28"/>
      <x:c r="G169" s="28"/>
      <x:c r="H169" s="28"/>
      <x:c r="I169" s="28"/>
    </x:row>
    <x:row r="170">
      <x:c r="A170" s="28"/>
      <x:c r="B170" s="28"/>
      <x:c r="C170" s="28"/>
      <x:c r="D170" s="31"/>
      <x:c r="E170" s="28"/>
      <x:c r="F170" s="28"/>
      <x:c r="G170" s="28"/>
      <x:c r="H170" s="28"/>
      <x:c r="I170" s="28"/>
    </x:row>
    <x:row r="171">
      <x:c r="A171" s="28"/>
      <x:c r="B171" s="28"/>
      <x:c r="C171" s="28"/>
      <x:c r="D171" s="31"/>
      <x:c r="E171" s="28"/>
      <x:c r="F171" s="28"/>
      <x:c r="G171" s="28"/>
      <x:c r="H171" s="28"/>
      <x:c r="I171" s="28"/>
    </x:row>
    <x:row r="172">
      <x:c r="A172" s="28"/>
      <x:c r="B172" s="28"/>
      <x:c r="C172" s="28"/>
      <x:c r="D172" s="31"/>
      <x:c r="E172" s="28"/>
      <x:c r="F172" s="28"/>
      <x:c r="G172" s="28"/>
      <x:c r="H172" s="28"/>
      <x:c r="I172" s="28"/>
    </x:row>
    <x:row r="173">
      <x:c r="A173" s="28"/>
      <x:c r="B173" s="28"/>
      <x:c r="C173" s="28"/>
      <x:c r="D173" s="31"/>
      <x:c r="E173" s="28"/>
      <x:c r="F173" s="28"/>
      <x:c r="G173" s="28"/>
      <x:c r="H173" s="28"/>
      <x:c r="I173" s="28"/>
    </x:row>
    <x:row r="174">
      <x:c r="A174" s="28"/>
      <x:c r="B174" s="28"/>
      <x:c r="C174" s="28"/>
      <x:c r="D174" s="31"/>
      <x:c r="E174" s="28"/>
      <x:c r="F174" s="28"/>
      <x:c r="G174" s="28"/>
      <x:c r="H174" s="28"/>
      <x:c r="I174" s="28"/>
    </x:row>
    <x:row r="175">
      <x:c r="A175" s="28"/>
      <x:c r="B175" s="28"/>
      <x:c r="C175" s="28"/>
      <x:c r="D175" s="31"/>
      <x:c r="E175" s="28"/>
      <x:c r="F175" s="28"/>
      <x:c r="G175" s="28"/>
      <x:c r="H175" s="28"/>
      <x:c r="I175" s="28"/>
    </x:row>
    <x:row r="176">
      <x:c r="A176" s="28"/>
      <x:c r="B176" s="28"/>
      <x:c r="C176" s="28"/>
      <x:c r="D176" s="31"/>
      <x:c r="E176" s="28"/>
      <x:c r="F176" s="28"/>
      <x:c r="G176" s="28"/>
      <x:c r="H176" s="28"/>
      <x:c r="I176" s="28"/>
    </x:row>
    <x:row r="177">
      <x:c r="A177" s="28"/>
      <x:c r="B177" s="28"/>
      <x:c r="C177" s="28"/>
      <x:c r="D177" s="31"/>
      <x:c r="E177" s="28"/>
      <x:c r="F177" s="28"/>
      <x:c r="G177" s="28"/>
      <x:c r="H177" s="28"/>
      <x:c r="I177" s="28"/>
    </x:row>
    <x:row r="178">
      <x:c r="A178" s="28"/>
      <x:c r="B178" s="28"/>
      <x:c r="C178" s="28"/>
      <x:c r="D178" s="31"/>
      <x:c r="E178" s="28"/>
      <x:c r="F178" s="28"/>
      <x:c r="G178" s="28"/>
      <x:c r="H178" s="28"/>
      <x:c r="I178" s="28"/>
    </x:row>
    <x:row r="179">
      <x:c r="A179" s="28"/>
      <x:c r="B179" s="28"/>
      <x:c r="C179" s="28"/>
      <x:c r="D179" s="31"/>
      <x:c r="E179" s="28"/>
      <x:c r="F179" s="28"/>
      <x:c r="G179" s="28"/>
      <x:c r="H179" s="28"/>
      <x:c r="I179" s="28"/>
    </x:row>
    <x:row r="180">
      <x:c r="A180" s="28"/>
      <x:c r="B180" s="28"/>
      <x:c r="C180" s="28"/>
      <x:c r="D180" s="31"/>
      <x:c r="E180" s="28"/>
      <x:c r="F180" s="28"/>
      <x:c r="G180" s="28"/>
      <x:c r="H180" s="28"/>
      <x:c r="I180" s="28"/>
    </x:row>
    <x:row r="181">
      <x:c r="A181" s="28"/>
      <x:c r="B181" s="28"/>
      <x:c r="C181" s="28"/>
      <x:c r="D181" s="31"/>
      <x:c r="E181" s="28"/>
      <x:c r="F181" s="28"/>
      <x:c r="G181" s="28"/>
      <x:c r="H181" s="28"/>
      <x:c r="I181" s="28"/>
    </x:row>
    <x:row r="182">
      <x:c r="A182" s="28"/>
      <x:c r="B182" s="28"/>
      <x:c r="C182" s="28"/>
      <x:c r="D182" s="31"/>
      <x:c r="E182" s="28"/>
      <x:c r="F182" s="28"/>
      <x:c r="G182" s="28"/>
      <x:c r="H182" s="28"/>
      <x:c r="I182" s="28"/>
    </x:row>
    <x:row r="183">
      <x:c r="A183" s="28"/>
      <x:c r="B183" s="28"/>
      <x:c r="C183" s="28"/>
      <x:c r="D183" s="31"/>
      <x:c r="E183" s="28"/>
      <x:c r="F183" s="28"/>
      <x:c r="G183" s="28"/>
      <x:c r="H183" s="28"/>
      <x:c r="I183" s="28"/>
    </x:row>
    <x:row r="184">
      <x:c r="A184" s="28"/>
      <x:c r="B184" s="28"/>
      <x:c r="C184" s="28"/>
      <x:c r="D184" s="31"/>
      <x:c r="E184" s="28"/>
      <x:c r="F184" s="28"/>
      <x:c r="G184" s="28"/>
      <x:c r="H184" s="28"/>
      <x:c r="I184" s="28"/>
    </x:row>
    <x:row r="185">
      <x:c r="A185" s="28"/>
      <x:c r="B185" s="28"/>
      <x:c r="C185" s="28"/>
      <x:c r="D185" s="31"/>
      <x:c r="E185" s="28"/>
      <x:c r="F185" s="28"/>
      <x:c r="G185" s="28"/>
      <x:c r="H185" s="28"/>
      <x:c r="I185" s="28"/>
    </x:row>
    <x:row r="186">
      <x:c r="A186" s="28"/>
      <x:c r="B186" s="28"/>
      <x:c r="C186" s="28"/>
      <x:c r="D186" s="31"/>
      <x:c r="E186" s="28"/>
      <x:c r="F186" s="28"/>
      <x:c r="G186" s="28"/>
      <x:c r="H186" s="28"/>
      <x:c r="I186" s="28"/>
    </x:row>
    <x:row r="187">
      <x:c r="A187" s="28"/>
      <x:c r="B187" s="28"/>
      <x:c r="C187" s="28"/>
      <x:c r="D187" s="31"/>
      <x:c r="E187" s="28"/>
      <x:c r="F187" s="28"/>
      <x:c r="G187" s="28"/>
      <x:c r="H187" s="28"/>
      <x:c r="I187" s="28"/>
    </x:row>
    <x:row r="188">
      <x:c r="A188" s="28"/>
      <x:c r="B188" s="28"/>
      <x:c r="C188" s="28"/>
      <x:c r="D188" s="31"/>
      <x:c r="E188" s="28"/>
      <x:c r="F188" s="28"/>
      <x:c r="G188" s="28"/>
      <x:c r="H188" s="28"/>
      <x:c r="I188" s="28"/>
    </x:row>
    <x:row r="189">
      <x:c r="A189" s="28"/>
      <x:c r="B189" s="28"/>
      <x:c r="C189" s="28"/>
      <x:c r="D189" s="31"/>
      <x:c r="E189" s="28"/>
      <x:c r="F189" s="28"/>
      <x:c r="G189" s="28"/>
      <x:c r="H189" s="28"/>
      <x:c r="I189" s="28"/>
    </x:row>
    <x:row r="190">
      <x:c r="A190" s="28"/>
      <x:c r="B190" s="28"/>
      <x:c r="C190" s="28"/>
      <x:c r="D190" s="31"/>
      <x:c r="E190" s="28"/>
      <x:c r="F190" s="28"/>
      <x:c r="G190" s="28"/>
      <x:c r="H190" s="28"/>
      <x:c r="I190" s="28"/>
    </x:row>
    <x:row r="191">
      <x:c r="A191" s="28"/>
      <x:c r="B191" s="28"/>
      <x:c r="C191" s="28"/>
      <x:c r="D191" s="31"/>
      <x:c r="E191" s="28"/>
      <x:c r="F191" s="28"/>
      <x:c r="G191" s="28"/>
      <x:c r="H191" s="28"/>
      <x:c r="I191" s="28"/>
    </x:row>
    <x:row r="192">
      <x:c r="A192" s="28"/>
      <x:c r="B192" s="28"/>
      <x:c r="C192" s="28"/>
      <x:c r="D192" s="31"/>
      <x:c r="E192" s="28"/>
      <x:c r="F192" s="28"/>
      <x:c r="G192" s="28"/>
      <x:c r="H192" s="28"/>
      <x:c r="I192" s="28"/>
    </x:row>
    <x:row r="193">
      <x:c r="A193" s="28"/>
      <x:c r="B193" s="28"/>
      <x:c r="C193" s="28"/>
      <x:c r="D193" s="31"/>
      <x:c r="E193" s="28"/>
      <x:c r="F193" s="28"/>
      <x:c r="G193" s="28"/>
      <x:c r="H193" s="28"/>
      <x:c r="I193" s="28"/>
    </x:row>
    <x:row r="194">
      <x:c r="A194" s="28"/>
      <x:c r="B194" s="28"/>
      <x:c r="C194" s="28"/>
      <x:c r="D194" s="31"/>
      <x:c r="E194" s="28"/>
      <x:c r="F194" s="28"/>
      <x:c r="G194" s="28"/>
      <x:c r="H194" s="28"/>
      <x:c r="I194" s="28"/>
    </x:row>
    <x:row r="195">
      <x:c r="A195" s="28"/>
      <x:c r="B195" s="28"/>
      <x:c r="C195" s="28"/>
      <x:c r="D195" s="31"/>
      <x:c r="E195" s="28"/>
      <x:c r="F195" s="28"/>
      <x:c r="G195" s="28"/>
      <x:c r="H195" s="28"/>
      <x:c r="I195" s="28"/>
    </x:row>
    <x:row r="196">
      <x:c r="A196" s="28"/>
      <x:c r="B196" s="28"/>
      <x:c r="C196" s="28"/>
      <x:c r="D196" s="31"/>
      <x:c r="E196" s="28"/>
      <x:c r="F196" s="28"/>
      <x:c r="G196" s="28"/>
      <x:c r="H196" s="28"/>
      <x:c r="I196" s="28"/>
    </x:row>
    <x:row r="197">
      <x:c r="A197" s="28"/>
      <x:c r="B197" s="28"/>
      <x:c r="C197" s="28"/>
      <x:c r="D197" s="31"/>
      <x:c r="E197" s="28"/>
      <x:c r="F197" s="28"/>
      <x:c r="G197" s="28"/>
      <x:c r="H197" s="28"/>
      <x:c r="I197" s="28"/>
    </x:row>
    <x:row r="198">
      <x:c r="A198" s="28"/>
      <x:c r="B198" s="28"/>
      <x:c r="C198" s="28"/>
      <x:c r="D198" s="31"/>
      <x:c r="E198" s="28"/>
      <x:c r="F198" s="28"/>
      <x:c r="G198" s="28"/>
      <x:c r="H198" s="28"/>
      <x:c r="I198" s="28"/>
    </x:row>
    <x:row r="199">
      <x:c r="A199" s="28"/>
      <x:c r="B199" s="28"/>
      <x:c r="C199" s="28"/>
      <x:c r="D199" s="31"/>
      <x:c r="E199" s="28"/>
      <x:c r="F199" s="28"/>
      <x:c r="G199" s="28"/>
      <x:c r="H199" s="28"/>
      <x:c r="I199" s="28"/>
    </x:row>
    <x:row r="200">
      <x:c r="A200" s="28"/>
      <x:c r="B200" s="28"/>
      <x:c r="C200" s="28"/>
      <x:c r="D200" s="31"/>
      <x:c r="E200" s="28"/>
      <x:c r="F200" s="28"/>
      <x:c r="G200" s="28"/>
      <x:c r="H200" s="28"/>
      <x:c r="I200" s="28"/>
    </x:row>
    <x:row r="201">
      <x:c r="A201" s="28"/>
      <x:c r="B201" s="28"/>
      <x:c r="C201" s="28"/>
      <x:c r="D201" s="31"/>
      <x:c r="E201" s="28"/>
      <x:c r="F201" s="28"/>
      <x:c r="G201" s="28"/>
      <x:c r="H201" s="28"/>
      <x:c r="I201" s="28"/>
    </x:row>
    <x:row r="202">
      <x:c r="A202" s="28"/>
      <x:c r="B202" s="28"/>
      <x:c r="C202" s="28"/>
      <x:c r="D202" s="31"/>
      <x:c r="E202" s="28"/>
      <x:c r="F202" s="28"/>
      <x:c r="G202" s="28"/>
      <x:c r="H202" s="28"/>
      <x:c r="I202" s="28"/>
    </x:row>
    <x:row r="203">
      <x:c r="A203" s="28"/>
      <x:c r="B203" s="28"/>
      <x:c r="C203" s="28"/>
      <x:c r="D203" s="31"/>
      <x:c r="E203" s="28"/>
      <x:c r="F203" s="28"/>
      <x:c r="G203" s="28"/>
      <x:c r="H203" s="28"/>
      <x:c r="I203" s="28"/>
    </x:row>
    <x:row r="204">
      <x:c r="A204" s="28"/>
      <x:c r="B204" s="28"/>
      <x:c r="C204" s="28"/>
      <x:c r="D204" s="31"/>
      <x:c r="E204" s="28"/>
      <x:c r="F204" s="28"/>
      <x:c r="G204" s="28"/>
      <x:c r="H204" s="28"/>
      <x:c r="I204" s="28"/>
    </x:row>
    <x:row r="205">
      <x:c r="A205" s="28"/>
      <x:c r="B205" s="28"/>
      <x:c r="C205" s="28"/>
      <x:c r="D205" s="31"/>
      <x:c r="E205" s="28"/>
      <x:c r="F205" s="28"/>
      <x:c r="G205" s="28"/>
      <x:c r="H205" s="28"/>
      <x:c r="I205" s="28"/>
    </x:row>
    <x:row r="206">
      <x:c r="A206" s="28"/>
      <x:c r="B206" s="28"/>
      <x:c r="C206" s="28"/>
      <x:c r="D206" s="31"/>
      <x:c r="E206" s="28"/>
      <x:c r="F206" s="28"/>
      <x:c r="G206" s="28"/>
      <x:c r="H206" s="28"/>
      <x:c r="I206" s="28"/>
    </x:row>
    <x:row r="207">
      <x:c r="A207" s="28"/>
      <x:c r="B207" s="28"/>
      <x:c r="C207" s="28"/>
      <x:c r="D207" s="31"/>
      <x:c r="E207" s="28"/>
      <x:c r="F207" s="28"/>
      <x:c r="G207" s="28"/>
      <x:c r="H207" s="28"/>
      <x:c r="I207" s="28"/>
    </x:row>
    <x:row r="208">
      <x:c r="A208" s="28"/>
      <x:c r="B208" s="28"/>
      <x:c r="C208" s="28"/>
      <x:c r="D208" s="31"/>
      <x:c r="E208" s="28"/>
      <x:c r="F208" s="28"/>
      <x:c r="G208" s="28"/>
      <x:c r="H208" s="28"/>
      <x:c r="I208" s="28"/>
    </x:row>
    <x:row r="209">
      <x:c r="A209" s="28"/>
      <x:c r="B209" s="28"/>
      <x:c r="C209" s="28"/>
      <x:c r="D209" s="31"/>
      <x:c r="E209" s="28"/>
      <x:c r="F209" s="28"/>
      <x:c r="G209" s="28"/>
      <x:c r="H209" s="28"/>
      <x:c r="I209" s="28"/>
    </x:row>
    <x:row r="210">
      <x:c r="A210" s="28"/>
      <x:c r="B210" s="28"/>
      <x:c r="C210" s="28"/>
      <x:c r="D210" s="31"/>
      <x:c r="E210" s="28"/>
      <x:c r="F210" s="28"/>
      <x:c r="G210" s="28"/>
      <x:c r="H210" s="28"/>
      <x:c r="I210" s="28"/>
    </x:row>
    <x:row r="211">
      <x:c r="A211" s="28"/>
      <x:c r="B211" s="28"/>
      <x:c r="C211" s="28"/>
      <x:c r="D211" s="31"/>
      <x:c r="E211" s="28"/>
      <x:c r="F211" s="28"/>
      <x:c r="G211" s="28"/>
      <x:c r="H211" s="28"/>
      <x:c r="I211" s="28"/>
    </x:row>
    <x:row r="212">
      <x:c r="A212" s="28"/>
      <x:c r="B212" s="28"/>
      <x:c r="C212" s="28"/>
      <x:c r="D212" s="31"/>
      <x:c r="E212" s="28"/>
      <x:c r="F212" s="28"/>
      <x:c r="G212" s="28"/>
      <x:c r="H212" s="28"/>
      <x:c r="I212" s="28"/>
    </x:row>
    <x:row r="213">
      <x:c r="A213" s="28"/>
      <x:c r="B213" s="28"/>
      <x:c r="C213" s="28"/>
      <x:c r="D213" s="31"/>
      <x:c r="E213" s="28"/>
      <x:c r="F213" s="28"/>
      <x:c r="G213" s="28"/>
      <x:c r="H213" s="28"/>
      <x:c r="I213" s="28"/>
    </x:row>
    <x:row r="214">
      <x:c r="A214" s="28"/>
      <x:c r="B214" s="28"/>
      <x:c r="C214" s="28"/>
      <x:c r="D214" s="31"/>
      <x:c r="E214" s="28"/>
      <x:c r="F214" s="28"/>
      <x:c r="G214" s="28"/>
      <x:c r="H214" s="28"/>
      <x:c r="I214" s="28"/>
    </x:row>
    <x:row r="215">
      <x:c r="A215" s="28"/>
      <x:c r="B215" s="28"/>
      <x:c r="C215" s="28"/>
      <x:c r="D215" s="31"/>
      <x:c r="E215" s="28"/>
      <x:c r="F215" s="28"/>
      <x:c r="G215" s="28"/>
      <x:c r="H215" s="28"/>
      <x:c r="I215" s="28"/>
    </x:row>
    <x:row r="216">
      <x:c r="A216" s="28"/>
      <x:c r="B216" s="28"/>
      <x:c r="C216" s="28"/>
      <x:c r="D216" s="31"/>
      <x:c r="E216" s="28"/>
      <x:c r="F216" s="28"/>
      <x:c r="G216" s="28"/>
      <x:c r="H216" s="28"/>
      <x:c r="I216" s="28"/>
    </x:row>
    <x:row r="217">
      <x:c r="A217" s="28"/>
      <x:c r="B217" s="28"/>
      <x:c r="C217" s="28"/>
      <x:c r="D217" s="31"/>
      <x:c r="E217" s="28"/>
      <x:c r="F217" s="28"/>
      <x:c r="G217" s="28"/>
      <x:c r="H217" s="28"/>
      <x:c r="I217" s="28"/>
    </x:row>
    <x:row r="218">
      <x:c r="A218" s="28"/>
      <x:c r="B218" s="28"/>
      <x:c r="C218" s="28"/>
      <x:c r="D218" s="31"/>
      <x:c r="E218" s="28"/>
      <x:c r="F218" s="28"/>
      <x:c r="G218" s="28"/>
      <x:c r="H218" s="28"/>
      <x:c r="I218" s="28"/>
    </x:row>
    <x:row r="219">
      <x:c r="A219" s="28"/>
      <x:c r="B219" s="28"/>
      <x:c r="C219" s="28"/>
      <x:c r="D219" s="31"/>
      <x:c r="E219" s="28"/>
      <x:c r="F219" s="28"/>
      <x:c r="G219" s="28"/>
      <x:c r="H219" s="28"/>
      <x:c r="I219" s="28"/>
    </x:row>
    <x:row r="220">
      <x:c r="A220" s="28"/>
      <x:c r="B220" s="28"/>
      <x:c r="C220" s="28"/>
      <x:c r="D220" s="31"/>
      <x:c r="E220" s="28"/>
      <x:c r="F220" s="28"/>
      <x:c r="G220" s="28"/>
      <x:c r="H220" s="28"/>
      <x:c r="I220" s="28"/>
    </x:row>
    <x:row r="221">
      <x:c r="A221" s="28"/>
      <x:c r="B221" s="28"/>
      <x:c r="C221" s="28"/>
      <x:c r="D221" s="31"/>
      <x:c r="E221" s="28"/>
      <x:c r="F221" s="28"/>
      <x:c r="G221" s="28"/>
      <x:c r="H221" s="28"/>
      <x:c r="I221" s="28"/>
    </x:row>
    <x:row r="222">
      <x:c r="A222" s="28"/>
      <x:c r="B222" s="28"/>
      <x:c r="C222" s="28"/>
      <x:c r="D222" s="31"/>
      <x:c r="E222" s="28"/>
      <x:c r="F222" s="28"/>
      <x:c r="G222" s="28"/>
      <x:c r="H222" s="28"/>
      <x:c r="I222" s="28"/>
    </x:row>
    <x:row r="223">
      <x:c r="A223" s="28"/>
      <x:c r="B223" s="28"/>
      <x:c r="C223" s="28"/>
      <x:c r="D223" s="31"/>
      <x:c r="E223" s="28"/>
      <x:c r="F223" s="28"/>
      <x:c r="G223" s="28"/>
      <x:c r="H223" s="28"/>
      <x:c r="I223" s="28"/>
    </x:row>
    <x:row r="224">
      <x:c r="A224" s="28"/>
      <x:c r="B224" s="28"/>
      <x:c r="C224" s="28"/>
      <x:c r="D224" s="31"/>
      <x:c r="E224" s="28"/>
      <x:c r="F224" s="28"/>
      <x:c r="G224" s="28"/>
      <x:c r="H224" s="28"/>
      <x:c r="I224" s="28"/>
    </x:row>
    <x:row r="225">
      <x:c r="A225" s="28"/>
      <x:c r="B225" s="28"/>
      <x:c r="C225" s="28"/>
      <x:c r="D225" s="31"/>
      <x:c r="E225" s="28"/>
      <x:c r="F225" s="28"/>
      <x:c r="G225" s="28"/>
      <x:c r="H225" s="28"/>
      <x:c r="I225" s="28"/>
    </x:row>
    <x:row r="226">
      <x:c r="A226" s="28"/>
      <x:c r="B226" s="28"/>
      <x:c r="C226" s="28"/>
      <x:c r="D226" s="31"/>
      <x:c r="E226" s="28"/>
      <x:c r="F226" s="28"/>
      <x:c r="G226" s="28"/>
      <x:c r="H226" s="28"/>
      <x:c r="I226" s="28"/>
    </x:row>
    <x:row r="227">
      <x:c r="A227" s="28"/>
      <x:c r="B227" s="28"/>
      <x:c r="C227" s="28"/>
      <x:c r="D227" s="31"/>
      <x:c r="E227" s="28"/>
      <x:c r="F227" s="28"/>
      <x:c r="G227" s="28"/>
      <x:c r="H227" s="28"/>
      <x:c r="I227" s="28"/>
    </x:row>
    <x:row r="228">
      <x:c r="A228" s="28"/>
      <x:c r="B228" s="28"/>
      <x:c r="C228" s="28"/>
      <x:c r="D228" s="31"/>
      <x:c r="E228" s="28"/>
      <x:c r="F228" s="28"/>
      <x:c r="G228" s="28"/>
      <x:c r="H228" s="28"/>
      <x:c r="I228" s="28"/>
    </x:row>
    <x:row r="229">
      <x:c r="A229" s="28"/>
      <x:c r="B229" s="28"/>
      <x:c r="C229" s="28"/>
      <x:c r="D229" s="31"/>
      <x:c r="E229" s="28"/>
      <x:c r="F229" s="28"/>
      <x:c r="G229" s="28"/>
      <x:c r="H229" s="28"/>
      <x:c r="I229" s="28"/>
    </x:row>
    <x:row r="230">
      <x:c r="A230" s="28"/>
      <x:c r="B230" s="28"/>
      <x:c r="C230" s="28"/>
      <x:c r="D230" s="31"/>
      <x:c r="E230" s="28"/>
      <x:c r="F230" s="28"/>
      <x:c r="G230" s="28"/>
      <x:c r="H230" s="28"/>
      <x:c r="I230" s="28"/>
    </x:row>
    <x:row r="231">
      <x:c r="A231" s="28"/>
      <x:c r="B231" s="28"/>
      <x:c r="C231" s="28"/>
      <x:c r="D231" s="31"/>
      <x:c r="E231" s="28"/>
      <x:c r="F231" s="28"/>
      <x:c r="G231" s="28"/>
      <x:c r="H231" s="28"/>
      <x:c r="I231" s="28"/>
    </x:row>
    <x:row r="232">
      <x:c r="A232" s="28"/>
      <x:c r="B232" s="28"/>
      <x:c r="C232" s="28"/>
      <x:c r="D232" s="31"/>
      <x:c r="E232" s="28"/>
      <x:c r="F232" s="28"/>
      <x:c r="G232" s="28"/>
      <x:c r="H232" s="28"/>
      <x:c r="I232" s="28"/>
    </x:row>
    <x:row r="233">
      <x:c r="A233" s="28"/>
      <x:c r="B233" s="28"/>
      <x:c r="C233" s="28"/>
      <x:c r="D233" s="31"/>
      <x:c r="E233" s="28"/>
      <x:c r="F233" s="28"/>
      <x:c r="G233" s="28"/>
      <x:c r="H233" s="28"/>
      <x:c r="I233" s="28"/>
    </x:row>
    <x:row r="234">
      <x:c r="A234" s="28"/>
      <x:c r="B234" s="28"/>
      <x:c r="C234" s="28"/>
      <x:c r="D234" s="31"/>
      <x:c r="E234" s="28"/>
      <x:c r="F234" s="28"/>
      <x:c r="G234" s="28"/>
      <x:c r="H234" s="28"/>
      <x:c r="I234" s="28"/>
    </x:row>
    <x:row r="235">
      <x:c r="A235" s="28"/>
      <x:c r="B235" s="28"/>
      <x:c r="C235" s="28"/>
      <x:c r="D235" s="31"/>
      <x:c r="E235" s="28"/>
      <x:c r="F235" s="28"/>
      <x:c r="G235" s="28"/>
      <x:c r="H235" s="28"/>
      <x:c r="I235" s="28"/>
    </x:row>
    <x:row r="236">
      <x:c r="A236" s="28"/>
      <x:c r="B236" s="28"/>
      <x:c r="C236" s="28"/>
      <x:c r="D236" s="31"/>
      <x:c r="E236" s="28"/>
      <x:c r="F236" s="28"/>
      <x:c r="G236" s="28"/>
      <x:c r="H236" s="28"/>
      <x:c r="I236" s="28"/>
    </x:row>
    <x:row r="237">
      <x:c r="A237" s="28"/>
      <x:c r="B237" s="28"/>
      <x:c r="C237" s="28"/>
      <x:c r="D237" s="31"/>
      <x:c r="E237" s="28"/>
      <x:c r="F237" s="28"/>
      <x:c r="G237" s="28"/>
      <x:c r="H237" s="28"/>
      <x:c r="I237" s="28"/>
    </x:row>
    <x:row r="238">
      <x:c r="A238" s="28"/>
      <x:c r="B238" s="28"/>
      <x:c r="C238" s="28"/>
      <x:c r="D238" s="31"/>
      <x:c r="E238" s="28"/>
      <x:c r="F238" s="28"/>
      <x:c r="G238" s="28"/>
      <x:c r="H238" s="28"/>
      <x:c r="I238" s="28"/>
    </x:row>
    <x:row r="239">
      <x:c r="A239" s="28"/>
      <x:c r="B239" s="28"/>
      <x:c r="C239" s="28"/>
      <x:c r="D239" s="31"/>
      <x:c r="E239" s="28"/>
      <x:c r="F239" s="28"/>
      <x:c r="G239" s="28"/>
      <x:c r="H239" s="28"/>
      <x:c r="I239" s="28"/>
    </x:row>
    <x:row r="240">
      <x:c r="A240" s="28"/>
      <x:c r="B240" s="28"/>
      <x:c r="C240" s="28"/>
      <x:c r="D240" s="31"/>
      <x:c r="E240" s="28"/>
      <x:c r="F240" s="28"/>
      <x:c r="G240" s="28"/>
      <x:c r="H240" s="28"/>
      <x:c r="I240" s="28"/>
    </x:row>
    <x:row r="241">
      <x:c r="A241" s="28"/>
      <x:c r="B241" s="28"/>
      <x:c r="C241" s="28"/>
      <x:c r="D241" s="31"/>
      <x:c r="E241" s="28"/>
      <x:c r="F241" s="28"/>
      <x:c r="G241" s="28"/>
      <x:c r="H241" s="28"/>
      <x:c r="I241" s="28"/>
    </x:row>
    <x:row r="242">
      <x:c r="A242" s="28"/>
      <x:c r="B242" s="28"/>
      <x:c r="C242" s="28"/>
      <x:c r="D242" s="31"/>
      <x:c r="E242" s="28"/>
      <x:c r="F242" s="28"/>
      <x:c r="G242" s="28"/>
      <x:c r="H242" s="28"/>
      <x:c r="I242" s="28"/>
    </x:row>
    <x:row r="243">
      <x:c r="A243" s="28"/>
      <x:c r="B243" s="28"/>
      <x:c r="C243" s="28"/>
      <x:c r="D243" s="31"/>
      <x:c r="E243" s="28"/>
      <x:c r="F243" s="28"/>
      <x:c r="G243" s="28"/>
      <x:c r="H243" s="28"/>
      <x:c r="I243" s="28"/>
    </x:row>
    <x:row r="244">
      <x:c r="A244" s="28"/>
      <x:c r="B244" s="28"/>
      <x:c r="C244" s="28"/>
      <x:c r="D244" s="31"/>
      <x:c r="E244" s="28"/>
      <x:c r="F244" s="28"/>
      <x:c r="G244" s="28"/>
      <x:c r="H244" s="28"/>
      <x:c r="I244" s="28"/>
    </x:row>
    <x:row r="245">
      <x:c r="A245" s="28"/>
      <x:c r="B245" s="28"/>
      <x:c r="C245" s="28"/>
      <x:c r="D245" s="31"/>
      <x:c r="E245" s="28"/>
      <x:c r="F245" s="28"/>
      <x:c r="G245" s="28"/>
      <x:c r="H245" s="28"/>
      <x:c r="I245" s="28"/>
    </x:row>
    <x:row r="246">
      <x:c r="A246" s="28"/>
      <x:c r="B246" s="28"/>
      <x:c r="C246" s="28"/>
      <x:c r="D246" s="31"/>
      <x:c r="E246" s="28"/>
      <x:c r="F246" s="28"/>
      <x:c r="G246" s="28"/>
      <x:c r="H246" s="28"/>
      <x:c r="I246" s="28"/>
    </x:row>
    <x:row r="247">
      <x:c r="A247" s="28"/>
      <x:c r="B247" s="28"/>
      <x:c r="C247" s="28"/>
      <x:c r="D247" s="31"/>
      <x:c r="E247" s="28"/>
      <x:c r="F247" s="28"/>
      <x:c r="G247" s="28"/>
      <x:c r="H247" s="28"/>
      <x:c r="I247" s="28"/>
    </x:row>
    <x:row r="248">
      <x:c r="A248" s="28"/>
      <x:c r="B248" s="28"/>
      <x:c r="C248" s="28"/>
      <x:c r="D248" s="31"/>
      <x:c r="E248" s="28"/>
      <x:c r="F248" s="28"/>
      <x:c r="G248" s="28"/>
      <x:c r="H248" s="28"/>
      <x:c r="I248" s="28"/>
    </x:row>
    <x:row r="249">
      <x:c r="A249" s="28"/>
      <x:c r="B249" s="28"/>
      <x:c r="C249" s="28"/>
      <x:c r="D249" s="31"/>
      <x:c r="E249" s="28"/>
      <x:c r="F249" s="28"/>
      <x:c r="G249" s="28"/>
      <x:c r="H249" s="28"/>
      <x:c r="I249" s="28"/>
    </x:row>
    <x:row r="250">
      <x:c r="A250" s="28"/>
      <x:c r="B250" s="28"/>
      <x:c r="C250" s="28"/>
      <x:c r="D250" s="31"/>
      <x:c r="E250" s="28"/>
      <x:c r="F250" s="28"/>
      <x:c r="G250" s="28"/>
      <x:c r="H250" s="28"/>
      <x:c r="I250" s="28"/>
    </x:row>
    <x:row r="251">
      <x:c r="A251" s="28"/>
      <x:c r="B251" s="28"/>
      <x:c r="C251" s="28"/>
      <x:c r="D251" s="31"/>
      <x:c r="E251" s="28"/>
      <x:c r="F251" s="28"/>
      <x:c r="G251" s="28"/>
      <x:c r="H251" s="28"/>
      <x:c r="I251" s="28"/>
    </x:row>
    <x:row r="252">
      <x:c r="A252" s="28"/>
      <x:c r="B252" s="28"/>
      <x:c r="C252" s="28"/>
      <x:c r="D252" s="31"/>
      <x:c r="E252" s="28"/>
      <x:c r="F252" s="28"/>
      <x:c r="G252" s="28"/>
      <x:c r="H252" s="28"/>
      <x:c r="I252" s="28"/>
    </x:row>
    <x:row r="253">
      <x:c r="A253" s="28"/>
      <x:c r="B253" s="28"/>
      <x:c r="C253" s="28"/>
      <x:c r="D253" s="31"/>
      <x:c r="E253" s="28"/>
      <x:c r="F253" s="28"/>
      <x:c r="G253" s="28"/>
      <x:c r="H253" s="28"/>
      <x:c r="I253" s="28"/>
    </x:row>
    <x:row r="254">
      <x:c r="A254" s="28"/>
      <x:c r="B254" s="28"/>
      <x:c r="C254" s="28"/>
      <x:c r="D254" s="31"/>
      <x:c r="E254" s="28"/>
      <x:c r="F254" s="28"/>
      <x:c r="G254" s="28"/>
      <x:c r="H254" s="28"/>
      <x:c r="I254" s="28"/>
    </x:row>
    <x:row r="255">
      <x:c r="A255" s="28"/>
      <x:c r="B255" s="28"/>
      <x:c r="C255" s="28"/>
      <x:c r="D255" s="31"/>
      <x:c r="E255" s="28"/>
      <x:c r="F255" s="28"/>
      <x:c r="G255" s="28"/>
      <x:c r="H255" s="28"/>
      <x:c r="I255" s="28"/>
    </x:row>
    <x:row r="256">
      <x:c r="A256" s="28"/>
      <x:c r="B256" s="28"/>
      <x:c r="C256" s="28"/>
      <x:c r="D256" s="31"/>
      <x:c r="E256" s="28"/>
      <x:c r="F256" s="28"/>
      <x:c r="G256" s="28"/>
      <x:c r="H256" s="28"/>
      <x:c r="I256" s="28"/>
    </x:row>
    <x:row r="257">
      <x:c r="A257" s="28"/>
      <x:c r="B257" s="28"/>
      <x:c r="C257" s="28"/>
      <x:c r="D257" s="31"/>
      <x:c r="E257" s="28"/>
      <x:c r="F257" s="28"/>
      <x:c r="G257" s="28"/>
      <x:c r="H257" s="28"/>
      <x:c r="I257" s="28"/>
    </x:row>
    <x:row r="258">
      <x:c r="A258" s="28"/>
      <x:c r="B258" s="28"/>
      <x:c r="C258" s="28"/>
      <x:c r="D258" s="31"/>
      <x:c r="E258" s="28"/>
      <x:c r="F258" s="28"/>
      <x:c r="G258" s="28"/>
      <x:c r="H258" s="28"/>
      <x:c r="I258" s="28"/>
    </x:row>
    <x:row r="259">
      <x:c r="A259" s="28"/>
      <x:c r="B259" s="28"/>
      <x:c r="C259" s="28"/>
      <x:c r="D259" s="31"/>
      <x:c r="E259" s="28"/>
      <x:c r="F259" s="28"/>
      <x:c r="G259" s="28"/>
      <x:c r="H259" s="28"/>
      <x:c r="I259" s="28"/>
    </x:row>
    <x:row r="260">
      <x:c r="A260" s="28"/>
      <x:c r="B260" s="28"/>
      <x:c r="C260" s="28"/>
      <x:c r="D260" s="31"/>
      <x:c r="E260" s="28"/>
      <x:c r="F260" s="28"/>
      <x:c r="G260" s="28"/>
      <x:c r="H260" s="28"/>
      <x:c r="I260" s="28"/>
    </x:row>
    <x:row r="261">
      <x:c r="A261" s="28"/>
      <x:c r="B261" s="28"/>
      <x:c r="C261" s="28"/>
      <x:c r="D261" s="31"/>
      <x:c r="E261" s="28"/>
      <x:c r="F261" s="28"/>
      <x:c r="G261" s="28"/>
      <x:c r="H261" s="28"/>
      <x:c r="I261" s="28"/>
    </x:row>
    <x:row r="262">
      <x:c r="A262" s="28"/>
      <x:c r="B262" s="28"/>
      <x:c r="C262" s="28"/>
      <x:c r="D262" s="31"/>
      <x:c r="E262" s="28"/>
      <x:c r="F262" s="28"/>
      <x:c r="G262" s="28"/>
      <x:c r="H262" s="28"/>
      <x:c r="I262" s="28"/>
    </x:row>
    <x:row r="263">
      <x:c r="A263" s="28"/>
      <x:c r="B263" s="28"/>
      <x:c r="C263" s="28"/>
      <x:c r="D263" s="31"/>
      <x:c r="E263" s="28"/>
      <x:c r="F263" s="28"/>
      <x:c r="G263" s="28"/>
      <x:c r="H263" s="28"/>
      <x:c r="I263" s="28"/>
    </x:row>
    <x:row r="264">
      <x:c r="A264" s="28"/>
      <x:c r="B264" s="28"/>
      <x:c r="C264" s="28"/>
      <x:c r="D264" s="31"/>
      <x:c r="E264" s="28"/>
      <x:c r="F264" s="28"/>
      <x:c r="G264" s="28"/>
      <x:c r="H264" s="28"/>
      <x:c r="I264" s="28"/>
    </x:row>
    <x:row r="265">
      <x:c r="A265" s="28"/>
      <x:c r="B265" s="28"/>
      <x:c r="C265" s="28"/>
      <x:c r="D265" s="31"/>
      <x:c r="E265" s="28"/>
      <x:c r="F265" s="28"/>
      <x:c r="G265" s="28"/>
      <x:c r="H265" s="28"/>
      <x:c r="I265" s="28"/>
    </x:row>
    <x:row r="266">
      <x:c r="A266" s="28"/>
      <x:c r="B266" s="28"/>
      <x:c r="C266" s="28"/>
      <x:c r="D266" s="31"/>
      <x:c r="E266" s="28"/>
      <x:c r="F266" s="28"/>
      <x:c r="G266" s="28"/>
      <x:c r="H266" s="28"/>
      <x:c r="I266" s="28"/>
    </x:row>
    <x:row r="267">
      <x:c r="A267" s="28"/>
      <x:c r="B267" s="28"/>
      <x:c r="C267" s="28"/>
      <x:c r="D267" s="31"/>
      <x:c r="E267" s="28"/>
      <x:c r="F267" s="28"/>
      <x:c r="G267" s="28"/>
      <x:c r="H267" s="28"/>
      <x:c r="I267" s="28"/>
    </x:row>
    <x:row r="268">
      <x:c r="A268" s="28"/>
      <x:c r="B268" s="28"/>
      <x:c r="C268" s="28"/>
      <x:c r="D268" s="31"/>
      <x:c r="E268" s="28"/>
      <x:c r="F268" s="28"/>
      <x:c r="G268" s="28"/>
      <x:c r="H268" s="28"/>
      <x:c r="I268" s="28"/>
    </x:row>
    <x:row r="269">
      <x:c r="A269" s="28"/>
      <x:c r="B269" s="28"/>
      <x:c r="C269" s="28"/>
      <x:c r="D269" s="31"/>
      <x:c r="E269" s="28"/>
      <x:c r="F269" s="28"/>
      <x:c r="G269" s="28"/>
      <x:c r="H269" s="28"/>
      <x:c r="I269" s="28"/>
    </x:row>
    <x:row r="270">
      <x:c r="A270" s="28"/>
      <x:c r="B270" s="28"/>
      <x:c r="C270" s="28"/>
      <x:c r="D270" s="31"/>
      <x:c r="E270" s="28"/>
      <x:c r="F270" s="28"/>
      <x:c r="G270" s="28"/>
      <x:c r="H270" s="28"/>
      <x:c r="I270" s="28"/>
    </x:row>
    <x:row r="271">
      <x:c r="A271" s="28"/>
      <x:c r="B271" s="28"/>
      <x:c r="C271" s="28"/>
      <x:c r="D271" s="31"/>
      <x:c r="E271" s="28"/>
      <x:c r="F271" s="28"/>
      <x:c r="G271" s="28"/>
      <x:c r="H271" s="28"/>
      <x:c r="I271" s="28"/>
    </x:row>
    <x:row r="272">
      <x:c r="A272" s="28"/>
      <x:c r="B272" s="28"/>
      <x:c r="C272" s="28"/>
      <x:c r="D272" s="31"/>
      <x:c r="E272" s="28"/>
      <x:c r="F272" s="28"/>
      <x:c r="G272" s="28"/>
      <x:c r="H272" s="28"/>
      <x:c r="I272" s="28"/>
    </x:row>
    <x:row r="273">
      <x:c r="A273" s="28"/>
      <x:c r="B273" s="28"/>
      <x:c r="C273" s="28"/>
      <x:c r="D273" s="31"/>
      <x:c r="E273" s="28"/>
      <x:c r="F273" s="28"/>
      <x:c r="G273" s="28"/>
      <x:c r="H273" s="28"/>
      <x:c r="I273" s="28"/>
    </x:row>
    <x:row r="274">
      <x:c r="A274" s="28"/>
      <x:c r="B274" s="28"/>
      <x:c r="C274" s="28"/>
      <x:c r="D274" s="31"/>
      <x:c r="E274" s="28"/>
      <x:c r="F274" s="28"/>
      <x:c r="G274" s="28"/>
      <x:c r="H274" s="28"/>
      <x:c r="I274" s="28"/>
    </x:row>
    <x:row r="275">
      <x:c r="A275" s="28"/>
      <x:c r="B275" s="28"/>
      <x:c r="C275" s="28"/>
      <x:c r="D275" s="31"/>
      <x:c r="E275" s="28"/>
      <x:c r="F275" s="28"/>
      <x:c r="G275" s="28"/>
      <x:c r="H275" s="28"/>
      <x:c r="I275" s="28"/>
    </x:row>
    <x:row r="276">
      <x:c r="A276" s="28"/>
      <x:c r="B276" s="28"/>
      <x:c r="C276" s="28"/>
      <x:c r="D276" s="31"/>
      <x:c r="E276" s="28"/>
      <x:c r="F276" s="28"/>
      <x:c r="G276" s="28"/>
      <x:c r="H276" s="28"/>
      <x:c r="I276" s="28"/>
    </x:row>
    <x:row r="277">
      <x:c r="A277" s="28"/>
      <x:c r="B277" s="28"/>
      <x:c r="C277" s="28"/>
      <x:c r="D277" s="31"/>
      <x:c r="E277" s="28"/>
      <x:c r="F277" s="28"/>
      <x:c r="G277" s="28"/>
      <x:c r="H277" s="28"/>
      <x:c r="I277" s="28"/>
    </x:row>
    <x:row r="278">
      <x:c r="A278" s="28"/>
      <x:c r="B278" s="28"/>
      <x:c r="C278" s="28"/>
      <x:c r="D278" s="31"/>
      <x:c r="E278" s="28"/>
      <x:c r="F278" s="28"/>
      <x:c r="G278" s="28"/>
      <x:c r="H278" s="28"/>
      <x:c r="I278" s="28"/>
    </x:row>
    <x:row r="279">
      <x:c r="A279" s="28"/>
      <x:c r="B279" s="28"/>
      <x:c r="C279" s="28"/>
      <x:c r="D279" s="31"/>
      <x:c r="E279" s="28"/>
      <x:c r="F279" s="28"/>
      <x:c r="G279" s="28"/>
      <x:c r="H279" s="28"/>
      <x:c r="I279" s="28"/>
    </x:row>
    <x:row r="280">
      <x:c r="A280" s="28"/>
      <x:c r="B280" s="28"/>
      <x:c r="C280" s="28"/>
      <x:c r="D280" s="31"/>
      <x:c r="E280" s="28"/>
      <x:c r="F280" s="28"/>
      <x:c r="G280" s="28"/>
      <x:c r="H280" s="28"/>
      <x:c r="I280" s="28"/>
    </x:row>
    <x:row r="281">
      <x:c r="A281" s="28"/>
      <x:c r="B281" s="28"/>
      <x:c r="C281" s="28"/>
      <x:c r="D281" s="31"/>
      <x:c r="E281" s="28"/>
      <x:c r="F281" s="28"/>
      <x:c r="G281" s="28"/>
      <x:c r="H281" s="28"/>
      <x:c r="I281" s="28"/>
    </x:row>
    <x:row r="282">
      <x:c r="A282" s="28"/>
      <x:c r="B282" s="28"/>
      <x:c r="C282" s="28"/>
      <x:c r="D282" s="31"/>
      <x:c r="E282" s="28"/>
      <x:c r="F282" s="28"/>
      <x:c r="G282" s="28"/>
      <x:c r="H282" s="28"/>
      <x:c r="I282" s="28"/>
    </x:row>
    <x:row r="283">
      <x:c r="A283" s="28"/>
      <x:c r="B283" s="28"/>
      <x:c r="C283" s="28"/>
      <x:c r="D283" s="31"/>
      <x:c r="E283" s="28"/>
      <x:c r="F283" s="28"/>
      <x:c r="G283" s="28"/>
      <x:c r="H283" s="28"/>
      <x:c r="I283" s="28"/>
    </x:row>
    <x:row r="284">
      <x:c r="A284" s="28"/>
      <x:c r="B284" s="28"/>
      <x:c r="C284" s="28"/>
      <x:c r="D284" s="31"/>
      <x:c r="E284" s="28"/>
      <x:c r="F284" s="28"/>
      <x:c r="G284" s="28"/>
      <x:c r="H284" s="28"/>
      <x:c r="I284" s="28"/>
    </x:row>
    <x:row r="285">
      <x:c r="A285" s="28"/>
      <x:c r="B285" s="28"/>
      <x:c r="C285" s="28"/>
      <x:c r="D285" s="31"/>
      <x:c r="E285" s="28"/>
      <x:c r="F285" s="28"/>
      <x:c r="G285" s="28"/>
      <x:c r="H285" s="28"/>
      <x:c r="I285" s="28"/>
    </x:row>
    <x:row r="286">
      <x:c r="A286" s="28"/>
      <x:c r="B286" s="28"/>
      <x:c r="C286" s="28"/>
      <x:c r="D286" s="31"/>
      <x:c r="E286" s="28"/>
      <x:c r="F286" s="28"/>
      <x:c r="G286" s="28"/>
      <x:c r="H286" s="28"/>
      <x:c r="I286" s="28"/>
    </x:row>
    <x:row r="287">
      <x:c r="A287" s="28"/>
      <x:c r="B287" s="28"/>
      <x:c r="C287" s="28"/>
      <x:c r="D287" s="31"/>
      <x:c r="E287" s="28"/>
      <x:c r="F287" s="28"/>
      <x:c r="G287" s="28"/>
      <x:c r="H287" s="28"/>
      <x:c r="I287" s="28"/>
    </x:row>
    <x:row r="288">
      <x:c r="A288" s="28"/>
      <x:c r="B288" s="28"/>
      <x:c r="C288" s="28"/>
      <x:c r="D288" s="31"/>
      <x:c r="E288" s="28"/>
      <x:c r="F288" s="28"/>
      <x:c r="G288" s="28"/>
      <x:c r="H288" s="28"/>
      <x:c r="I288" s="28"/>
    </x:row>
    <x:row r="289">
      <x:c r="A289" s="28"/>
      <x:c r="B289" s="28"/>
      <x:c r="C289" s="28"/>
      <x:c r="D289" s="31"/>
      <x:c r="E289" s="28"/>
      <x:c r="F289" s="28"/>
      <x:c r="G289" s="28"/>
      <x:c r="H289" s="28"/>
      <x:c r="I289" s="28"/>
    </x:row>
    <x:row r="290">
      <x:c r="A290" s="28"/>
      <x:c r="B290" s="28"/>
      <x:c r="C290" s="28"/>
      <x:c r="D290" s="31"/>
      <x:c r="E290" s="28"/>
      <x:c r="F290" s="28"/>
      <x:c r="G290" s="28"/>
      <x:c r="H290" s="28"/>
      <x:c r="I290" s="28"/>
    </x:row>
    <x:row r="291">
      <x:c r="A291" s="28"/>
      <x:c r="B291" s="28"/>
      <x:c r="C291" s="28"/>
      <x:c r="D291" s="31"/>
      <x:c r="E291" s="28"/>
      <x:c r="F291" s="28"/>
      <x:c r="G291" s="28"/>
      <x:c r="H291" s="28"/>
      <x:c r="I291" s="28"/>
    </x:row>
    <x:row r="292">
      <x:c r="A292" s="28"/>
      <x:c r="B292" s="28"/>
      <x:c r="C292" s="28"/>
      <x:c r="D292" s="31"/>
      <x:c r="E292" s="28"/>
      <x:c r="F292" s="28"/>
      <x:c r="G292" s="28"/>
      <x:c r="H292" s="28"/>
      <x:c r="I292" s="28"/>
    </x:row>
    <x:row r="293">
      <x:c r="A293" s="28"/>
      <x:c r="B293" s="28"/>
      <x:c r="C293" s="28"/>
      <x:c r="D293" s="31"/>
      <x:c r="E293" s="28"/>
      <x:c r="F293" s="28"/>
      <x:c r="G293" s="28"/>
      <x:c r="H293" s="28"/>
      <x:c r="I293" s="28"/>
    </x:row>
    <x:row r="294">
      <x:c r="A294" s="28"/>
      <x:c r="B294" s="28"/>
      <x:c r="C294" s="28"/>
      <x:c r="D294" s="31"/>
      <x:c r="E294" s="28"/>
      <x:c r="F294" s="28"/>
      <x:c r="G294" s="28"/>
      <x:c r="H294" s="28"/>
      <x:c r="I294" s="28"/>
    </x:row>
    <x:row r="295">
      <x:c r="A295" s="28"/>
      <x:c r="B295" s="28"/>
      <x:c r="C295" s="28"/>
      <x:c r="D295" s="31"/>
      <x:c r="E295" s="28"/>
      <x:c r="F295" s="28"/>
      <x:c r="G295" s="28"/>
      <x:c r="H295" s="28"/>
      <x:c r="I295" s="28"/>
    </x:row>
    <x:row r="296">
      <x:c r="A296" s="28"/>
      <x:c r="B296" s="28"/>
      <x:c r="C296" s="28"/>
      <x:c r="D296" s="31"/>
      <x:c r="E296" s="28"/>
      <x:c r="F296" s="28"/>
      <x:c r="G296" s="28"/>
      <x:c r="H296" s="28"/>
      <x:c r="I296" s="28"/>
    </x:row>
    <x:row r="297">
      <x:c r="A297" s="28"/>
      <x:c r="B297" s="28"/>
      <x:c r="C297" s="28"/>
      <x:c r="D297" s="31"/>
      <x:c r="E297" s="28"/>
      <x:c r="F297" s="28"/>
      <x:c r="G297" s="28"/>
      <x:c r="H297" s="28"/>
      <x:c r="I297" s="28"/>
    </x:row>
    <x:row r="298">
      <x:c r="A298" s="28"/>
      <x:c r="B298" s="28"/>
      <x:c r="C298" s="28"/>
      <x:c r="D298" s="31"/>
      <x:c r="E298" s="28"/>
      <x:c r="F298" s="28"/>
      <x:c r="G298" s="28"/>
      <x:c r="H298" s="28"/>
      <x:c r="I298" s="28"/>
    </x:row>
    <x:row r="299">
      <x:c r="A299" s="28"/>
      <x:c r="B299" s="28"/>
      <x:c r="C299" s="28"/>
      <x:c r="D299" s="31"/>
      <x:c r="E299" s="28"/>
      <x:c r="F299" s="28"/>
      <x:c r="G299" s="28"/>
      <x:c r="H299" s="28"/>
      <x:c r="I299" s="28"/>
    </x:row>
    <x:row r="300">
      <x:c r="A300" s="28"/>
      <x:c r="B300" s="28"/>
      <x:c r="C300" s="28"/>
      <x:c r="D300" s="31"/>
      <x:c r="E300" s="28"/>
      <x:c r="F300" s="28"/>
      <x:c r="G300" s="28"/>
      <x:c r="H300" s="28"/>
      <x:c r="I300" s="28"/>
    </x:row>
    <x:row r="301">
      <x:c r="A301" s="28"/>
      <x:c r="B301" s="28"/>
      <x:c r="C301" s="28"/>
      <x:c r="D301" s="31"/>
      <x:c r="E301" s="28"/>
      <x:c r="F301" s="28"/>
      <x:c r="G301" s="28"/>
      <x:c r="H301" s="28"/>
      <x:c r="I301" s="28"/>
    </x:row>
  </x:sheetData>
  <x:dataValidations count="3">
    <x:dataValidation type="list" showInputMessage="1" promptTitle="Choose a value" prompt="Interconnection, Interconnection Agreement, Land, Financing, PPA, Permit, Local Government, Data Center Proximity, News" sqref="C2:C301">
      <x:formula1>"Interconnection,Interconnection Agreement,Land,Financing,PPA,Permit,Local Government,Data Center Proximity,News"</x:formula1>
    </x:dataValidation>
    <x:dataValidation type="list" showInputMessage="1" promptTitle="Choose a value" prompt="High, Medium, Low" sqref="G2:G301">
      <x:formula1>"High,Medium,Low"</x:formula1>
    </x:dataValidation>
    <x:dataValidation type="list" showInputMessage="1" promptTitle="Choose a value" prompt="High, Medium, Low" sqref="H2:H301">
      <x:formula1>"High,Medium,Low"</x:formula1>
    </x:dataValidation>
  </x:dataValidations>
  <x:pageMargins left="0.7" right="0.7" top="0.75" bottom="0.75" header="0.3" footer="0.3"/>
  <x:tableParts count="1">
    <x:tablePart xmlns:r="http://schemas.openxmlformats.org/officeDocument/2006/relationships" r:id="R54d81491089340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39.290000915527344" hidden="0" customWidth="1"/>
    <x:col min="3" max="3" width="19.290000915527344" hidden="0" customWidth="1"/>
    <x:col min="4" max="4" width="50.709999084472656" hidden="0" customWidth="1"/>
    <x:col min="5" max="5" width="23.56999969482422" hidden="0" customWidth="1"/>
    <x:col min="6" max="6" width="16.43000030517578" hidden="0" customWidth="1"/>
    <x:col min="7" max="7" width="18.56999969482422" hidden="0" customWidth="1"/>
    <x:col min="8" max="8" width="50.709999084472656" hidden="0" customWidth="1"/>
    <x:col min="9" max="9" width="15" hidden="0" customWidth="1"/>
  </x:cols>
  <x:sheetData>
    <x:row r="1" ht="25.5" customHeight="1">
      <x:c r="A1" s="27" t="str">
        <x:v>source_id</x:v>
      </x:c>
      <x:c r="B1" s="27" t="str">
        <x:v>source_name</x:v>
      </x:c>
      <x:c r="C1" s="27" t="str">
        <x:v>source_type</x:v>
      </x:c>
      <x:c r="D1" s="27" t="str">
        <x:v>source_url</x:v>
      </x:c>
      <x:c r="E1" s="27" t="str">
        <x:v>publisher</x:v>
      </x:c>
      <x:c r="F1" s="27" t="str">
        <x:v>accessed_date</x:v>
      </x:c>
      <x:c r="G1" s="27" t="str">
        <x:v>publication_date</x:v>
      </x:c>
      <x:c r="H1" s="27" t="str">
        <x:v>license_notes</x:v>
      </x:c>
      <x:c r="I1" s="27" t="str">
        <x:v>reliability</x:v>
      </x:c>
    </x:row>
    <x:row r="2">
      <x:c r="A2" s="28" t="str">
        <x:v>src_ercot_gis_apr2026</x:v>
      </x:c>
      <x:c r="B2" s="28" t="str">
        <x:v>ERCOT GIS Report April 2026</x:v>
      </x:c>
      <x:c r="C2" s="28" t="str">
        <x:v>Dataset</x:v>
      </x:c>
      <x:c r="D2" s="28" t="str">
        <x:v>https://www.ercot.com/misdownload/servlets/mirDownload?doclookupId=1221842626</x:v>
      </x:c>
      <x:c r="E2" s="28" t="str">
        <x:v>ERCOT</x:v>
      </x:c>
      <x:c r="F2" s="31" t="n">
        <x:v>46146</x:v>
      </x:c>
      <x:c r="G2" s="31" t="n">
        <x:v>46143</x:v>
      </x:c>
      <x:c r="H2" s="28" t="str">
        <x:v>ERCOT public data product. Report disclaimer says data is for planning purposes and may contain errors or obsolete entries from RIOO submissions. Verify reuse terms before commercial launch.</x:v>
      </x:c>
      <x:c r="I2" s="28" t="str">
        <x:v>High</x:v>
      </x:c>
    </x:row>
    <x:row r="3">
      <x:c r="A3" s="28" t="str">
        <x:v>src_ercot_gis_product</x:v>
      </x:c>
      <x:c r="B3" s="28" t="str">
        <x:v>ERCOT GIS Report Data Product Details</x:v>
      </x:c>
      <x:c r="C3" s="28" t="str">
        <x:v>Dataset</x:v>
      </x:c>
      <x:c r="D3" s="28" t="str">
        <x:v>https://www.ercot.com/mp/data-products/data-product-details?id=PG7-200-ER</x:v>
      </x:c>
      <x:c r="E3" s="28" t="str">
        <x:v>ERCOT</x:v>
      </x:c>
      <x:c r="F3" s="31" t="n">
        <x:v>46146</x:v>
      </x:c>
      <x:c r="G3" s="31" t="n">
        <x:v>46062</x:v>
      </x:c>
      <x:c r="H3" s="28" t="str">
        <x:v>ERCOT identifies GIS Report as public xlsx report type 15933.</x:v>
      </x:c>
      <x:c r="I3" s="28" t="str">
        <x:v>High</x:v>
      </x:c>
    </x:row>
    <x:row r="4">
      <x:c r="A4" s="28" t="str">
        <x:v>src_analyst_county_centroids</x:v>
      </x:c>
      <x:c r="B4" s="28" t="str">
        <x:v>Analyst county centroid placeholders</x:v>
      </x:c>
      <x:c r="C4" s="28" t="str">
        <x:v>Other</x:v>
      </x:c>
      <x:c r="D4" s="28" t="str"/>
      <x:c r="E4" s="28" t="str">
        <x:v>Internal prototype note</x:v>
      </x:c>
      <x:c r="F4" s="31" t="n">
        <x:v>46146</x:v>
      </x:c>
      <x:c r="G4" s="31" t="str"/>
      <x:c r="H4" s="28" t="str">
        <x:v>Approximate coordinates manually assigned at county level only for prototype map testing; replace with geocoded POI/project coordinates.</x:v>
      </x:c>
      <x:c r="I4" s="28" t="str">
        <x:v>Low</x:v>
      </x:c>
    </x:row>
    <x:row r="5">
      <x:c r="A5" s="28" t="str">
        <x:v>src_greenbelt_projects</x:v>
      </x:c>
      <x:c r="B5" s="28" t="str">
        <x:v>Greenbelt Renewables Projects</x:v>
      </x:c>
      <x:c r="C5" s="28" t="str">
        <x:v>Company Website</x:v>
      </x:c>
      <x:c r="D5" s="28" t="str">
        <x:v>https://greenbeltrenewables.com/projects/</x:v>
      </x:c>
      <x:c r="E5" s="28" t="str">
        <x:v>Greenbelt Renewables</x:v>
      </x:c>
      <x:c r="F5" s="31" t="n">
        <x:v>46146</x:v>
      </x:c>
      <x:c r="G5" s="31" t="str"/>
      <x:c r="H5" s="28" t="str">
        <x:v>Company website lists project portfolio. Use as developer/sponsor signal, not as independent verification of grid milestones.</x:v>
      </x:c>
      <x:c r="I5" s="28" t="str">
        <x:v>Medium</x:v>
      </x:c>
    </x:row>
    <x:row r="6">
      <x:c r="A6" s="28" t="str">
        <x:v>src_interconnection_avalon</x:v>
      </x:c>
      <x:c r="B6" s="28" t="str">
        <x:v>Interconnection.fyi Avalon BESS</x:v>
      </x:c>
      <x:c r="C6" s="28" t="str">
        <x:v>Dataset</x:v>
      </x:c>
      <x:c r="D6" s="28" t="str">
        <x:v>https://www.interconnection.fyi/project/ercot-26inr0375</x:v>
      </x:c>
      <x:c r="E6" s="28" t="str">
        <x:v>Interconnection.fyi</x:v>
      </x:c>
      <x:c r="F6" s="31" t="n">
        <x:v>46146</x:v>
      </x:c>
      <x:c r="G6" s="31" t="str"/>
      <x:c r="H6" s="28" t="str">
        <x:v>Secondary interconnection queue aggregation. Useful for corroboration; ERCOT remains source of record.</x:v>
      </x:c>
      <x:c r="I6" s="28" t="str">
        <x:v>Medium</x:v>
      </x:c>
    </x:row>
    <x:row r="7">
      <x:c r="A7" s="28" t="str">
        <x:v>src_interconnection_kickstart_v</x:v>
      </x:c>
      <x:c r="B7" s="28" t="str">
        <x:v>Interconnection.fyi Kickstart Energy Storage V</x:v>
      </x:c>
      <x:c r="C7" s="28" t="str">
        <x:v>Dataset</x:v>
      </x:c>
      <x:c r="D7" s="28" t="str">
        <x:v>https://www.interconnection.fyi/project/ercot-29inr0217</x:v>
      </x:c>
      <x:c r="E7" s="28" t="str">
        <x:v>Interconnection.fyi</x:v>
      </x:c>
      <x:c r="F7" s="31" t="n">
        <x:v>46146</x:v>
      </x:c>
      <x:c r="G7" s="31" t="str"/>
      <x:c r="H7" s="28" t="str">
        <x:v>Secondary interconnection queue aggregation. Useful for corroboration; ERCOT remains source of record.</x:v>
      </x:c>
      <x:c r="I7" s="28" t="str">
        <x:v>Medium</x:v>
      </x:c>
    </x:row>
    <x:row r="8">
      <x:c r="A8" s="28" t="str">
        <x:v>src_interconnection_kickstart_vi</x:v>
      </x:c>
      <x:c r="B8" s="28" t="str">
        <x:v>Interconnection.fyi Kickstart Energy Storage VI</x:v>
      </x:c>
      <x:c r="C8" s="28" t="str">
        <x:v>Dataset</x:v>
      </x:c>
      <x:c r="D8" s="28" t="str">
        <x:v>https://www.interconnection.fyi/project/ercot-29inr0218</x:v>
      </x:c>
      <x:c r="E8" s="28" t="str">
        <x:v>Interconnection.fyi</x:v>
      </x:c>
      <x:c r="F8" s="31" t="n">
        <x:v>46146</x:v>
      </x:c>
      <x:c r="G8" s="31" t="str"/>
      <x:c r="H8" s="28" t="str">
        <x:v>Secondary interconnection queue aggregation. Useful for corroboration; ERCOT remains source of record.</x:v>
      </x:c>
      <x:c r="I8" s="28" t="str">
        <x:v>Medium</x:v>
      </x:c>
    </x:row>
    <x:row r="9">
      <x:c r="A9" s="28" t="str">
        <x:v>src_interconnection_comanche</x:v>
      </x:c>
      <x:c r="B9" s="28" t="str">
        <x:v>Interconnection.fyi Comanche BESS</x:v>
      </x:c>
      <x:c r="C9" s="28" t="str">
        <x:v>Dataset</x:v>
      </x:c>
      <x:c r="D9" s="28" t="str">
        <x:v>https://www.interconnection.fyi/project/ercot-27inr0365</x:v>
      </x:c>
      <x:c r="E9" s="28" t="str">
        <x:v>Interconnection.fyi</x:v>
      </x:c>
      <x:c r="F9" s="31" t="n">
        <x:v>46146</x:v>
      </x:c>
      <x:c r="G9" s="31" t="str"/>
      <x:c r="H9" s="28" t="str">
        <x:v>Secondary interconnection queue aggregation. Useful for corroboration; ERCOT remains source of record.</x:v>
      </x:c>
      <x:c r="I9" s="28" t="str">
        <x:v>Medium</x:v>
      </x:c>
    </x:row>
    <x:row r="10">
      <x:c r="A10" s="28" t="str">
        <x:v>src_interconnection_knight</x:v>
      </x:c>
      <x:c r="B10" s="28" t="str">
        <x:v>Interconnection.fyi Knight Airport BESS I</x:v>
      </x:c>
      <x:c r="C10" s="28" t="str">
        <x:v>Dataset</x:v>
      </x:c>
      <x:c r="D10" s="28" t="str">
        <x:v>https://www.interconnection.fyi/project/ercot-26inr0545</x:v>
      </x:c>
      <x:c r="E10" s="28" t="str">
        <x:v>Interconnection.fyi</x:v>
      </x:c>
      <x:c r="F10" s="31" t="n">
        <x:v>46146</x:v>
      </x:c>
      <x:c r="G10" s="31" t="str"/>
      <x:c r="H10" s="28" t="str">
        <x:v>Secondary interconnection queue aggregation. Useful for corroboration; ERCOT remains source of record.</x:v>
      </x:c>
      <x:c r="I10" s="28" t="str">
        <x:v>Medium</x:v>
      </x:c>
    </x:row>
    <x:row r="11">
      <x:c r="A11" s="28" t="str">
        <x:v>src_renewablesinfo_hobby</x:v>
      </x:c>
      <x:c r="B11" s="28" t="str">
        <x:v>RenewablesInfo Hobby BESS I</x:v>
      </x:c>
      <x:c r="C11" s="28" t="str">
        <x:v>Dataset</x:v>
      </x:c>
      <x:c r="D11" s="28" t="str">
        <x:v>https://www.renewablesinfo.org/project/ercot-26inr0546-hobby-bess-i</x:v>
      </x:c>
      <x:c r="E11" s="28" t="str">
        <x:v>RenewablesInfo</x:v>
      </x:c>
      <x:c r="F11" s="31" t="n">
        <x:v>46146</x:v>
      </x:c>
      <x:c r="G11" s="31" t="str"/>
      <x:c r="H11" s="28" t="str">
        <x:v>Secondary project aggregation generated from interconnection queue and public data sources. Use as corroborating evidence only.</x:v>
      </x:c>
      <x:c r="I11" s="28" t="str">
        <x:v>Medium</x:v>
      </x:c>
    </x:row>
    <x:row r="12">
      <x:c r="A12" s="28" t="str">
        <x:v>src_corpwiki_oneto</x:v>
      </x:c>
      <x:c r="B12" s="28" t="str">
        <x:v>CorporationWiki Miguel Oneto public-records profile</x:v>
      </x:c>
      <x:c r="C12" s="28" t="str">
        <x:v>Other</x:v>
      </x:c>
      <x:c r="D12" s="28" t="str">
        <x:v>https://www.corporationwiki.com/Texas/McAllen/miguel-oneto/36975557.aspx</x:v>
      </x:c>
      <x:c r="E12" s="28" t="str">
        <x:v>CorporationWiki</x:v>
      </x:c>
      <x:c r="F12" s="31" t="n">
        <x:v>46146</x:v>
      </x:c>
      <x:c r="G12" s="31" t="str"/>
      <x:c r="H12" s="28" t="str">
        <x:v>Public-records aggregator; verify against Texas Secretary of State before treating as authoritative ownership intelligence.</x:v>
      </x:c>
      <x:c r="I12" s="28" t="str">
        <x:v>Low</x:v>
      </x:c>
    </x:row>
    <x:row r="13">
      <x:c r="A13" s="28" t="str">
        <x:v>src_engie_data_centers_ercot</x:v>
      </x:c>
      <x:c r="B13" s="28" t="str">
        <x:v>Texas Data Centers: The New Large Load Shaping ERCOT</x:v>
      </x:c>
      <x:c r="C13" s="28" t="str">
        <x:v>News</x:v>
      </x:c>
      <x:c r="D13" s="28" t="str">
        <x:v>https://www.engieresources.com/market-insight/texas-data-centers-the-new-large-load-shaping-ercot/</x:v>
      </x:c>
      <x:c r="E13" s="28" t="str">
        <x:v>ENGIE Resources</x:v>
      </x:c>
      <x:c r="F13" s="31" t="n">
        <x:v>46146</x:v>
      </x:c>
      <x:c r="G13" s="31" t="n">
        <x:v>46112</x:v>
      </x:c>
      <x:c r="H13" s="28" t="str">
        <x:v>Market commentary source for data center demand context; use for thesis framing, not facility-level proximity.</x:v>
      </x:c>
      <x:c r="I13" s="28" t="str">
        <x:v>Medium</x:v>
      </x:c>
    </x:row>
    <x:row r="14">
      <x:c r="A14" s="28" t="str">
        <x:v>src_ercot_annual_report_2025</x:v>
      </x:c>
      <x:c r="B14" s="28" t="str">
        <x:v>ERCOT 2025 Annual Report</x:v>
      </x:c>
      <x:c r="C14" s="28" t="str">
        <x:v>Dataset</x:v>
      </x:c>
      <x:c r="D14" s="28" t="str">
        <x:v>https://www.ercot.com/files/docs/2026/03/19/2025-ERCOT-Annual-Report-Final-Single-Pages-March-19-2026.pdf</x:v>
      </x:c>
      <x:c r="E14" s="28" t="str">
        <x:v>ERCOT</x:v>
      </x:c>
      <x:c r="F14" s="31" t="n">
        <x:v>46146</x:v>
      </x:c>
      <x:c r="G14" s="31" t="n">
        <x:v>46100</x:v>
      </x:c>
      <x:c r="H14" s="28" t="str">
        <x:v>ERCOT annual report context for large-load interconnection queue and system growth.</x:v>
      </x:c>
      <x:c r="I14" s="28" t="str">
        <x:v>High</x:v>
      </x:c>
    </x:row>
    <x:row r="15">
      <x:c r="A15" s="28"/>
      <x:c r="B15" s="28"/>
      <x:c r="C15" s="28"/>
      <x:c r="D15" s="28"/>
      <x:c r="E15" s="28"/>
      <x:c r="F15" s="31"/>
      <x:c r="G15" s="31"/>
      <x:c r="H15" s="28"/>
      <x:c r="I15" s="28"/>
    </x:row>
    <x:row r="16">
      <x:c r="A16" s="28"/>
      <x:c r="B16" s="28"/>
      <x:c r="C16" s="28"/>
      <x:c r="D16" s="28"/>
      <x:c r="E16" s="28"/>
      <x:c r="F16" s="31"/>
      <x:c r="G16" s="31"/>
      <x:c r="H16" s="28"/>
      <x:c r="I16" s="28"/>
    </x:row>
    <x:row r="17">
      <x:c r="A17" s="28"/>
      <x:c r="B17" s="28"/>
      <x:c r="C17" s="28"/>
      <x:c r="D17" s="28"/>
      <x:c r="E17" s="28"/>
      <x:c r="F17" s="31"/>
      <x:c r="G17" s="31"/>
      <x:c r="H17" s="28"/>
      <x:c r="I17" s="28"/>
    </x:row>
    <x:row r="18">
      <x:c r="A18" s="28"/>
      <x:c r="B18" s="28"/>
      <x:c r="C18" s="28"/>
      <x:c r="D18" s="28"/>
      <x:c r="E18" s="28"/>
      <x:c r="F18" s="31"/>
      <x:c r="G18" s="31"/>
      <x:c r="H18" s="28"/>
      <x:c r="I18" s="28"/>
    </x:row>
    <x:row r="19">
      <x:c r="A19" s="28"/>
      <x:c r="B19" s="28"/>
      <x:c r="C19" s="28"/>
      <x:c r="D19" s="28"/>
      <x:c r="E19" s="28"/>
      <x:c r="F19" s="31"/>
      <x:c r="G19" s="31"/>
      <x:c r="H19" s="28"/>
      <x:c r="I19" s="28"/>
    </x:row>
    <x:row r="20">
      <x:c r="A20" s="28"/>
      <x:c r="B20" s="28"/>
      <x:c r="C20" s="28"/>
      <x:c r="D20" s="28"/>
      <x:c r="E20" s="28"/>
      <x:c r="F20" s="31"/>
      <x:c r="G20" s="31"/>
      <x:c r="H20" s="28"/>
      <x:c r="I20" s="28"/>
    </x:row>
    <x:row r="21">
      <x:c r="A21" s="28"/>
      <x:c r="B21" s="28"/>
      <x:c r="C21" s="28"/>
      <x:c r="D21" s="28"/>
      <x:c r="E21" s="28"/>
      <x:c r="F21" s="31"/>
      <x:c r="G21" s="31"/>
      <x:c r="H21" s="28"/>
      <x:c r="I21" s="28"/>
    </x:row>
    <x:row r="22">
      <x:c r="A22" s="28"/>
      <x:c r="B22" s="28"/>
      <x:c r="C22" s="28"/>
      <x:c r="D22" s="28"/>
      <x:c r="E22" s="28"/>
      <x:c r="F22" s="31"/>
      <x:c r="G22" s="31"/>
      <x:c r="H22" s="28"/>
      <x:c r="I22" s="28"/>
    </x:row>
    <x:row r="23">
      <x:c r="A23" s="28"/>
      <x:c r="B23" s="28"/>
      <x:c r="C23" s="28"/>
      <x:c r="D23" s="28"/>
      <x:c r="E23" s="28"/>
      <x:c r="F23" s="31"/>
      <x:c r="G23" s="31"/>
      <x:c r="H23" s="28"/>
      <x:c r="I23" s="28"/>
    </x:row>
    <x:row r="24">
      <x:c r="A24" s="28"/>
      <x:c r="B24" s="28"/>
      <x:c r="C24" s="28"/>
      <x:c r="D24" s="28"/>
      <x:c r="E24" s="28"/>
      <x:c r="F24" s="31"/>
      <x:c r="G24" s="31"/>
      <x:c r="H24" s="28"/>
      <x:c r="I24" s="28"/>
    </x:row>
    <x:row r="25">
      <x:c r="A25" s="28"/>
      <x:c r="B25" s="28"/>
      <x:c r="C25" s="28"/>
      <x:c r="D25" s="28"/>
      <x:c r="E25" s="28"/>
      <x:c r="F25" s="31"/>
      <x:c r="G25" s="31"/>
      <x:c r="H25" s="28"/>
      <x:c r="I25" s="28"/>
    </x:row>
    <x:row r="26">
      <x:c r="A26" s="28"/>
      <x:c r="B26" s="28"/>
      <x:c r="C26" s="28"/>
      <x:c r="D26" s="28"/>
      <x:c r="E26" s="28"/>
      <x:c r="F26" s="31"/>
      <x:c r="G26" s="31"/>
      <x:c r="H26" s="28"/>
      <x:c r="I26" s="28"/>
    </x:row>
    <x:row r="27">
      <x:c r="A27" s="28"/>
      <x:c r="B27" s="28"/>
      <x:c r="C27" s="28"/>
      <x:c r="D27" s="28"/>
      <x:c r="E27" s="28"/>
      <x:c r="F27" s="31"/>
      <x:c r="G27" s="31"/>
      <x:c r="H27" s="28"/>
      <x:c r="I27" s="28"/>
    </x:row>
    <x:row r="28">
      <x:c r="A28" s="28"/>
      <x:c r="B28" s="28"/>
      <x:c r="C28" s="28"/>
      <x:c r="D28" s="28"/>
      <x:c r="E28" s="28"/>
      <x:c r="F28" s="31"/>
      <x:c r="G28" s="31"/>
      <x:c r="H28" s="28"/>
      <x:c r="I28" s="28"/>
    </x:row>
    <x:row r="29">
      <x:c r="A29" s="28"/>
      <x:c r="B29" s="28"/>
      <x:c r="C29" s="28"/>
      <x:c r="D29" s="28"/>
      <x:c r="E29" s="28"/>
      <x:c r="F29" s="31"/>
      <x:c r="G29" s="31"/>
      <x:c r="H29" s="28"/>
      <x:c r="I29" s="28"/>
    </x:row>
    <x:row r="30">
      <x:c r="A30" s="28"/>
      <x:c r="B30" s="28"/>
      <x:c r="C30" s="28"/>
      <x:c r="D30" s="28"/>
      <x:c r="E30" s="28"/>
      <x:c r="F30" s="31"/>
      <x:c r="G30" s="31"/>
      <x:c r="H30" s="28"/>
      <x:c r="I30" s="28"/>
    </x:row>
    <x:row r="31">
      <x:c r="A31" s="28"/>
      <x:c r="B31" s="28"/>
      <x:c r="C31" s="28"/>
      <x:c r="D31" s="28"/>
      <x:c r="E31" s="28"/>
      <x:c r="F31" s="31"/>
      <x:c r="G31" s="31"/>
      <x:c r="H31" s="28"/>
      <x:c r="I31" s="28"/>
    </x:row>
    <x:row r="32">
      <x:c r="A32" s="28"/>
      <x:c r="B32" s="28"/>
      <x:c r="C32" s="28"/>
      <x:c r="D32" s="28"/>
      <x:c r="E32" s="28"/>
      <x:c r="F32" s="31"/>
      <x:c r="G32" s="31"/>
      <x:c r="H32" s="28"/>
      <x:c r="I32" s="28"/>
    </x:row>
    <x:row r="33">
      <x:c r="A33" s="28"/>
      <x:c r="B33" s="28"/>
      <x:c r="C33" s="28"/>
      <x:c r="D33" s="28"/>
      <x:c r="E33" s="28"/>
      <x:c r="F33" s="31"/>
      <x:c r="G33" s="31"/>
      <x:c r="H33" s="28"/>
      <x:c r="I33" s="28"/>
    </x:row>
    <x:row r="34">
      <x:c r="A34" s="28"/>
      <x:c r="B34" s="28"/>
      <x:c r="C34" s="28"/>
      <x:c r="D34" s="28"/>
      <x:c r="E34" s="28"/>
      <x:c r="F34" s="31"/>
      <x:c r="G34" s="31"/>
      <x:c r="H34" s="28"/>
      <x:c r="I34" s="28"/>
    </x:row>
    <x:row r="35">
      <x:c r="A35" s="28"/>
      <x:c r="B35" s="28"/>
      <x:c r="C35" s="28"/>
      <x:c r="D35" s="28"/>
      <x:c r="E35" s="28"/>
      <x:c r="F35" s="31"/>
      <x:c r="G35" s="31"/>
      <x:c r="H35" s="28"/>
      <x:c r="I35" s="28"/>
    </x:row>
    <x:row r="36">
      <x:c r="A36" s="28"/>
      <x:c r="B36" s="28"/>
      <x:c r="C36" s="28"/>
      <x:c r="D36" s="28"/>
      <x:c r="E36" s="28"/>
      <x:c r="F36" s="31"/>
      <x:c r="G36" s="31"/>
      <x:c r="H36" s="28"/>
      <x:c r="I36" s="28"/>
    </x:row>
    <x:row r="37">
      <x:c r="A37" s="28"/>
      <x:c r="B37" s="28"/>
      <x:c r="C37" s="28"/>
      <x:c r="D37" s="28"/>
      <x:c r="E37" s="28"/>
      <x:c r="F37" s="31"/>
      <x:c r="G37" s="31"/>
      <x:c r="H37" s="28"/>
      <x:c r="I37" s="28"/>
    </x:row>
    <x:row r="38">
      <x:c r="A38" s="28"/>
      <x:c r="B38" s="28"/>
      <x:c r="C38" s="28"/>
      <x:c r="D38" s="28"/>
      <x:c r="E38" s="28"/>
      <x:c r="F38" s="31"/>
      <x:c r="G38" s="31"/>
      <x:c r="H38" s="28"/>
      <x:c r="I38" s="28"/>
    </x:row>
    <x:row r="39">
      <x:c r="A39" s="28"/>
      <x:c r="B39" s="28"/>
      <x:c r="C39" s="28"/>
      <x:c r="D39" s="28"/>
      <x:c r="E39" s="28"/>
      <x:c r="F39" s="31"/>
      <x:c r="G39" s="31"/>
      <x:c r="H39" s="28"/>
      <x:c r="I39" s="28"/>
    </x:row>
    <x:row r="40">
      <x:c r="A40" s="28"/>
      <x:c r="B40" s="28"/>
      <x:c r="C40" s="28"/>
      <x:c r="D40" s="28"/>
      <x:c r="E40" s="28"/>
      <x:c r="F40" s="31"/>
      <x:c r="G40" s="31"/>
      <x:c r="H40" s="28"/>
      <x:c r="I40" s="28"/>
    </x:row>
    <x:row r="41">
      <x:c r="A41" s="28"/>
      <x:c r="B41" s="28"/>
      <x:c r="C41" s="28"/>
      <x:c r="D41" s="28"/>
      <x:c r="E41" s="28"/>
      <x:c r="F41" s="31"/>
      <x:c r="G41" s="31"/>
      <x:c r="H41" s="28"/>
      <x:c r="I41" s="28"/>
    </x:row>
    <x:row r="42">
      <x:c r="A42" s="28"/>
      <x:c r="B42" s="28"/>
      <x:c r="C42" s="28"/>
      <x:c r="D42" s="28"/>
      <x:c r="E42" s="28"/>
      <x:c r="F42" s="31"/>
      <x:c r="G42" s="31"/>
      <x:c r="H42" s="28"/>
      <x:c r="I42" s="28"/>
    </x:row>
    <x:row r="43">
      <x:c r="A43" s="28"/>
      <x:c r="B43" s="28"/>
      <x:c r="C43" s="28"/>
      <x:c r="D43" s="28"/>
      <x:c r="E43" s="28"/>
      <x:c r="F43" s="31"/>
      <x:c r="G43" s="31"/>
      <x:c r="H43" s="28"/>
      <x:c r="I43" s="28"/>
    </x:row>
    <x:row r="44">
      <x:c r="A44" s="28"/>
      <x:c r="B44" s="28"/>
      <x:c r="C44" s="28"/>
      <x:c r="D44" s="28"/>
      <x:c r="E44" s="28"/>
      <x:c r="F44" s="31"/>
      <x:c r="G44" s="31"/>
      <x:c r="H44" s="28"/>
      <x:c r="I44" s="28"/>
    </x:row>
    <x:row r="45">
      <x:c r="A45" s="28"/>
      <x:c r="B45" s="28"/>
      <x:c r="C45" s="28"/>
      <x:c r="D45" s="28"/>
      <x:c r="E45" s="28"/>
      <x:c r="F45" s="31"/>
      <x:c r="G45" s="31"/>
      <x:c r="H45" s="28"/>
      <x:c r="I45" s="28"/>
    </x:row>
    <x:row r="46">
      <x:c r="A46" s="28"/>
      <x:c r="B46" s="28"/>
      <x:c r="C46" s="28"/>
      <x:c r="D46" s="28"/>
      <x:c r="E46" s="28"/>
      <x:c r="F46" s="31"/>
      <x:c r="G46" s="31"/>
      <x:c r="H46" s="28"/>
      <x:c r="I46" s="28"/>
    </x:row>
    <x:row r="47">
      <x:c r="A47" s="28"/>
      <x:c r="B47" s="28"/>
      <x:c r="C47" s="28"/>
      <x:c r="D47" s="28"/>
      <x:c r="E47" s="28"/>
      <x:c r="F47" s="31"/>
      <x:c r="G47" s="31"/>
      <x:c r="H47" s="28"/>
      <x:c r="I47" s="28"/>
    </x:row>
    <x:row r="48">
      <x:c r="A48" s="28"/>
      <x:c r="B48" s="28"/>
      <x:c r="C48" s="28"/>
      <x:c r="D48" s="28"/>
      <x:c r="E48" s="28"/>
      <x:c r="F48" s="31"/>
      <x:c r="G48" s="31"/>
      <x:c r="H48" s="28"/>
      <x:c r="I48" s="28"/>
    </x:row>
    <x:row r="49">
      <x:c r="A49" s="28"/>
      <x:c r="B49" s="28"/>
      <x:c r="C49" s="28"/>
      <x:c r="D49" s="28"/>
      <x:c r="E49" s="28"/>
      <x:c r="F49" s="31"/>
      <x:c r="G49" s="31"/>
      <x:c r="H49" s="28"/>
      <x:c r="I49" s="28"/>
    </x:row>
    <x:row r="50">
      <x:c r="A50" s="28"/>
      <x:c r="B50" s="28"/>
      <x:c r="C50" s="28"/>
      <x:c r="D50" s="28"/>
      <x:c r="E50" s="28"/>
      <x:c r="F50" s="31"/>
      <x:c r="G50" s="31"/>
      <x:c r="H50" s="28"/>
      <x:c r="I50" s="28"/>
    </x:row>
    <x:row r="51">
      <x:c r="A51" s="28"/>
      <x:c r="B51" s="28"/>
      <x:c r="C51" s="28"/>
      <x:c r="D51" s="28"/>
      <x:c r="E51" s="28"/>
      <x:c r="F51" s="31"/>
      <x:c r="G51" s="31"/>
      <x:c r="H51" s="28"/>
      <x:c r="I51" s="28"/>
    </x:row>
    <x:row r="52">
      <x:c r="A52" s="28"/>
      <x:c r="B52" s="28"/>
      <x:c r="C52" s="28"/>
      <x:c r="D52" s="28"/>
      <x:c r="E52" s="28"/>
      <x:c r="F52" s="31"/>
      <x:c r="G52" s="31"/>
      <x:c r="H52" s="28"/>
      <x:c r="I52" s="28"/>
    </x:row>
    <x:row r="53">
      <x:c r="A53" s="28"/>
      <x:c r="B53" s="28"/>
      <x:c r="C53" s="28"/>
      <x:c r="D53" s="28"/>
      <x:c r="E53" s="28"/>
      <x:c r="F53" s="31"/>
      <x:c r="G53" s="31"/>
      <x:c r="H53" s="28"/>
      <x:c r="I53" s="28"/>
    </x:row>
    <x:row r="54">
      <x:c r="A54" s="28"/>
      <x:c r="B54" s="28"/>
      <x:c r="C54" s="28"/>
      <x:c r="D54" s="28"/>
      <x:c r="E54" s="28"/>
      <x:c r="F54" s="31"/>
      <x:c r="G54" s="31"/>
      <x:c r="H54" s="28"/>
      <x:c r="I54" s="28"/>
    </x:row>
    <x:row r="55">
      <x:c r="A55" s="28"/>
      <x:c r="B55" s="28"/>
      <x:c r="C55" s="28"/>
      <x:c r="D55" s="28"/>
      <x:c r="E55" s="28"/>
      <x:c r="F55" s="31"/>
      <x:c r="G55" s="31"/>
      <x:c r="H55" s="28"/>
      <x:c r="I55" s="28"/>
    </x:row>
    <x:row r="56">
      <x:c r="A56" s="28"/>
      <x:c r="B56" s="28"/>
      <x:c r="C56" s="28"/>
      <x:c r="D56" s="28"/>
      <x:c r="E56" s="28"/>
      <x:c r="F56" s="31"/>
      <x:c r="G56" s="31"/>
      <x:c r="H56" s="28"/>
      <x:c r="I56" s="28"/>
    </x:row>
    <x:row r="57">
      <x:c r="A57" s="28"/>
      <x:c r="B57" s="28"/>
      <x:c r="C57" s="28"/>
      <x:c r="D57" s="28"/>
      <x:c r="E57" s="28"/>
      <x:c r="F57" s="31"/>
      <x:c r="G57" s="31"/>
      <x:c r="H57" s="28"/>
      <x:c r="I57" s="28"/>
    </x:row>
    <x:row r="58">
      <x:c r="A58" s="28"/>
      <x:c r="B58" s="28"/>
      <x:c r="C58" s="28"/>
      <x:c r="D58" s="28"/>
      <x:c r="E58" s="28"/>
      <x:c r="F58" s="31"/>
      <x:c r="G58" s="31"/>
      <x:c r="H58" s="28"/>
      <x:c r="I58" s="28"/>
    </x:row>
    <x:row r="59">
      <x:c r="A59" s="28"/>
      <x:c r="B59" s="28"/>
      <x:c r="C59" s="28"/>
      <x:c r="D59" s="28"/>
      <x:c r="E59" s="28"/>
      <x:c r="F59" s="31"/>
      <x:c r="G59" s="31"/>
      <x:c r="H59" s="28"/>
      <x:c r="I59" s="28"/>
    </x:row>
    <x:row r="60">
      <x:c r="A60" s="28"/>
      <x:c r="B60" s="28"/>
      <x:c r="C60" s="28"/>
      <x:c r="D60" s="28"/>
      <x:c r="E60" s="28"/>
      <x:c r="F60" s="31"/>
      <x:c r="G60" s="31"/>
      <x:c r="H60" s="28"/>
      <x:c r="I60" s="28"/>
    </x:row>
    <x:row r="61">
      <x:c r="A61" s="28"/>
      <x:c r="B61" s="28"/>
      <x:c r="C61" s="28"/>
      <x:c r="D61" s="28"/>
      <x:c r="E61" s="28"/>
      <x:c r="F61" s="31"/>
      <x:c r="G61" s="31"/>
      <x:c r="H61" s="28"/>
      <x:c r="I61" s="28"/>
    </x:row>
    <x:row r="62">
      <x:c r="A62" s="28"/>
      <x:c r="B62" s="28"/>
      <x:c r="C62" s="28"/>
      <x:c r="D62" s="28"/>
      <x:c r="E62" s="28"/>
      <x:c r="F62" s="31"/>
      <x:c r="G62" s="31"/>
      <x:c r="H62" s="28"/>
      <x:c r="I62" s="28"/>
    </x:row>
    <x:row r="63">
      <x:c r="A63" s="28"/>
      <x:c r="B63" s="28"/>
      <x:c r="C63" s="28"/>
      <x:c r="D63" s="28"/>
      <x:c r="E63" s="28"/>
      <x:c r="F63" s="31"/>
      <x:c r="G63" s="31"/>
      <x:c r="H63" s="28"/>
      <x:c r="I63" s="28"/>
    </x:row>
    <x:row r="64">
      <x:c r="A64" s="28"/>
      <x:c r="B64" s="28"/>
      <x:c r="C64" s="28"/>
      <x:c r="D64" s="28"/>
      <x:c r="E64" s="28"/>
      <x:c r="F64" s="31"/>
      <x:c r="G64" s="31"/>
      <x:c r="H64" s="28"/>
      <x:c r="I64" s="28"/>
    </x:row>
    <x:row r="65">
      <x:c r="A65" s="28"/>
      <x:c r="B65" s="28"/>
      <x:c r="C65" s="28"/>
      <x:c r="D65" s="28"/>
      <x:c r="E65" s="28"/>
      <x:c r="F65" s="31"/>
      <x:c r="G65" s="31"/>
      <x:c r="H65" s="28"/>
      <x:c r="I65" s="28"/>
    </x:row>
    <x:row r="66">
      <x:c r="A66" s="28"/>
      <x:c r="B66" s="28"/>
      <x:c r="C66" s="28"/>
      <x:c r="D66" s="28"/>
      <x:c r="E66" s="28"/>
      <x:c r="F66" s="31"/>
      <x:c r="G66" s="31"/>
      <x:c r="H66" s="28"/>
      <x:c r="I66" s="28"/>
    </x:row>
    <x:row r="67">
      <x:c r="A67" s="28"/>
      <x:c r="B67" s="28"/>
      <x:c r="C67" s="28"/>
      <x:c r="D67" s="28"/>
      <x:c r="E67" s="28"/>
      <x:c r="F67" s="31"/>
      <x:c r="G67" s="31"/>
      <x:c r="H67" s="28"/>
      <x:c r="I67" s="28"/>
    </x:row>
    <x:row r="68">
      <x:c r="A68" s="28"/>
      <x:c r="B68" s="28"/>
      <x:c r="C68" s="28"/>
      <x:c r="D68" s="28"/>
      <x:c r="E68" s="28"/>
      <x:c r="F68" s="31"/>
      <x:c r="G68" s="31"/>
      <x:c r="H68" s="28"/>
      <x:c r="I68" s="28"/>
    </x:row>
    <x:row r="69">
      <x:c r="A69" s="28"/>
      <x:c r="B69" s="28"/>
      <x:c r="C69" s="28"/>
      <x:c r="D69" s="28"/>
      <x:c r="E69" s="28"/>
      <x:c r="F69" s="31"/>
      <x:c r="G69" s="31"/>
      <x:c r="H69" s="28"/>
      <x:c r="I69" s="28"/>
    </x:row>
    <x:row r="70">
      <x:c r="A70" s="28"/>
      <x:c r="B70" s="28"/>
      <x:c r="C70" s="28"/>
      <x:c r="D70" s="28"/>
      <x:c r="E70" s="28"/>
      <x:c r="F70" s="31"/>
      <x:c r="G70" s="31"/>
      <x:c r="H70" s="28"/>
      <x:c r="I70" s="28"/>
    </x:row>
    <x:row r="71">
      <x:c r="A71" s="28"/>
      <x:c r="B71" s="28"/>
      <x:c r="C71" s="28"/>
      <x:c r="D71" s="28"/>
      <x:c r="E71" s="28"/>
      <x:c r="F71" s="31"/>
      <x:c r="G71" s="31"/>
      <x:c r="H71" s="28"/>
      <x:c r="I71" s="28"/>
    </x:row>
    <x:row r="72">
      <x:c r="A72" s="28"/>
      <x:c r="B72" s="28"/>
      <x:c r="C72" s="28"/>
      <x:c r="D72" s="28"/>
      <x:c r="E72" s="28"/>
      <x:c r="F72" s="31"/>
      <x:c r="G72" s="31"/>
      <x:c r="H72" s="28"/>
      <x:c r="I72" s="28"/>
    </x:row>
    <x:row r="73">
      <x:c r="A73" s="28"/>
      <x:c r="B73" s="28"/>
      <x:c r="C73" s="28"/>
      <x:c r="D73" s="28"/>
      <x:c r="E73" s="28"/>
      <x:c r="F73" s="31"/>
      <x:c r="G73" s="31"/>
      <x:c r="H73" s="28"/>
      <x:c r="I73" s="28"/>
    </x:row>
    <x:row r="74">
      <x:c r="A74" s="28"/>
      <x:c r="B74" s="28"/>
      <x:c r="C74" s="28"/>
      <x:c r="D74" s="28"/>
      <x:c r="E74" s="28"/>
      <x:c r="F74" s="31"/>
      <x:c r="G74" s="31"/>
      <x:c r="H74" s="28"/>
      <x:c r="I74" s="28"/>
    </x:row>
    <x:row r="75">
      <x:c r="A75" s="28"/>
      <x:c r="B75" s="28"/>
      <x:c r="C75" s="28"/>
      <x:c r="D75" s="28"/>
      <x:c r="E75" s="28"/>
      <x:c r="F75" s="31"/>
      <x:c r="G75" s="31"/>
      <x:c r="H75" s="28"/>
      <x:c r="I75" s="28"/>
    </x:row>
    <x:row r="76">
      <x:c r="A76" s="28"/>
      <x:c r="B76" s="28"/>
      <x:c r="C76" s="28"/>
      <x:c r="D76" s="28"/>
      <x:c r="E76" s="28"/>
      <x:c r="F76" s="31"/>
      <x:c r="G76" s="31"/>
      <x:c r="H76" s="28"/>
      <x:c r="I76" s="28"/>
    </x:row>
    <x:row r="77">
      <x:c r="A77" s="28"/>
      <x:c r="B77" s="28"/>
      <x:c r="C77" s="28"/>
      <x:c r="D77" s="28"/>
      <x:c r="E77" s="28"/>
      <x:c r="F77" s="31"/>
      <x:c r="G77" s="31"/>
      <x:c r="H77" s="28"/>
      <x:c r="I77" s="28"/>
    </x:row>
    <x:row r="78">
      <x:c r="A78" s="28"/>
      <x:c r="B78" s="28"/>
      <x:c r="C78" s="28"/>
      <x:c r="D78" s="28"/>
      <x:c r="E78" s="28"/>
      <x:c r="F78" s="31"/>
      <x:c r="G78" s="31"/>
      <x:c r="H78" s="28"/>
      <x:c r="I78" s="28"/>
    </x:row>
    <x:row r="79">
      <x:c r="A79" s="28"/>
      <x:c r="B79" s="28"/>
      <x:c r="C79" s="28"/>
      <x:c r="D79" s="28"/>
      <x:c r="E79" s="28"/>
      <x:c r="F79" s="31"/>
      <x:c r="G79" s="31"/>
      <x:c r="H79" s="28"/>
      <x:c r="I79" s="28"/>
    </x:row>
    <x:row r="80">
      <x:c r="A80" s="28"/>
      <x:c r="B80" s="28"/>
      <x:c r="C80" s="28"/>
      <x:c r="D80" s="28"/>
      <x:c r="E80" s="28"/>
      <x:c r="F80" s="31"/>
      <x:c r="G80" s="31"/>
      <x:c r="H80" s="28"/>
      <x:c r="I80" s="28"/>
    </x:row>
    <x:row r="81">
      <x:c r="A81" s="28"/>
      <x:c r="B81" s="28"/>
      <x:c r="C81" s="28"/>
      <x:c r="D81" s="28"/>
      <x:c r="E81" s="28"/>
      <x:c r="F81" s="31"/>
      <x:c r="G81" s="31"/>
      <x:c r="H81" s="28"/>
      <x:c r="I81" s="28"/>
    </x:row>
    <x:row r="82">
      <x:c r="A82" s="28"/>
      <x:c r="B82" s="28"/>
      <x:c r="C82" s="28"/>
      <x:c r="D82" s="28"/>
      <x:c r="E82" s="28"/>
      <x:c r="F82" s="31"/>
      <x:c r="G82" s="31"/>
      <x:c r="H82" s="28"/>
      <x:c r="I82" s="28"/>
    </x:row>
    <x:row r="83">
      <x:c r="A83" s="28"/>
      <x:c r="B83" s="28"/>
      <x:c r="C83" s="28"/>
      <x:c r="D83" s="28"/>
      <x:c r="E83" s="28"/>
      <x:c r="F83" s="31"/>
      <x:c r="G83" s="31"/>
      <x:c r="H83" s="28"/>
      <x:c r="I83" s="28"/>
    </x:row>
    <x:row r="84">
      <x:c r="A84" s="28"/>
      <x:c r="B84" s="28"/>
      <x:c r="C84" s="28"/>
      <x:c r="D84" s="28"/>
      <x:c r="E84" s="28"/>
      <x:c r="F84" s="31"/>
      <x:c r="G84" s="31"/>
      <x:c r="H84" s="28"/>
      <x:c r="I84" s="28"/>
    </x:row>
    <x:row r="85">
      <x:c r="A85" s="28"/>
      <x:c r="B85" s="28"/>
      <x:c r="C85" s="28"/>
      <x:c r="D85" s="28"/>
      <x:c r="E85" s="28"/>
      <x:c r="F85" s="31"/>
      <x:c r="G85" s="31"/>
      <x:c r="H85" s="28"/>
      <x:c r="I85" s="28"/>
    </x:row>
    <x:row r="86">
      <x:c r="A86" s="28"/>
      <x:c r="B86" s="28"/>
      <x:c r="C86" s="28"/>
      <x:c r="D86" s="28"/>
      <x:c r="E86" s="28"/>
      <x:c r="F86" s="31"/>
      <x:c r="G86" s="31"/>
      <x:c r="H86" s="28"/>
      <x:c r="I86" s="28"/>
    </x:row>
    <x:row r="87">
      <x:c r="A87" s="28"/>
      <x:c r="B87" s="28"/>
      <x:c r="C87" s="28"/>
      <x:c r="D87" s="28"/>
      <x:c r="E87" s="28"/>
      <x:c r="F87" s="31"/>
      <x:c r="G87" s="31"/>
      <x:c r="H87" s="28"/>
      <x:c r="I87" s="28"/>
    </x:row>
    <x:row r="88">
      <x:c r="A88" s="28"/>
      <x:c r="B88" s="28"/>
      <x:c r="C88" s="28"/>
      <x:c r="D88" s="28"/>
      <x:c r="E88" s="28"/>
      <x:c r="F88" s="31"/>
      <x:c r="G88" s="31"/>
      <x:c r="H88" s="28"/>
      <x:c r="I88" s="28"/>
    </x:row>
    <x:row r="89">
      <x:c r="A89" s="28"/>
      <x:c r="B89" s="28"/>
      <x:c r="C89" s="28"/>
      <x:c r="D89" s="28"/>
      <x:c r="E89" s="28"/>
      <x:c r="F89" s="31"/>
      <x:c r="G89" s="31"/>
      <x:c r="H89" s="28"/>
      <x:c r="I89" s="28"/>
    </x:row>
    <x:row r="90">
      <x:c r="A90" s="28"/>
      <x:c r="B90" s="28"/>
      <x:c r="C90" s="28"/>
      <x:c r="D90" s="28"/>
      <x:c r="E90" s="28"/>
      <x:c r="F90" s="31"/>
      <x:c r="G90" s="31"/>
      <x:c r="H90" s="28"/>
      <x:c r="I90" s="28"/>
    </x:row>
    <x:row r="91">
      <x:c r="A91" s="28"/>
      <x:c r="B91" s="28"/>
      <x:c r="C91" s="28"/>
      <x:c r="D91" s="28"/>
      <x:c r="E91" s="28"/>
      <x:c r="F91" s="31"/>
      <x:c r="G91" s="31"/>
      <x:c r="H91" s="28"/>
      <x:c r="I91" s="28"/>
    </x:row>
    <x:row r="92">
      <x:c r="A92" s="28"/>
      <x:c r="B92" s="28"/>
      <x:c r="C92" s="28"/>
      <x:c r="D92" s="28"/>
      <x:c r="E92" s="28"/>
      <x:c r="F92" s="31"/>
      <x:c r="G92" s="31"/>
      <x:c r="H92" s="28"/>
      <x:c r="I92" s="28"/>
    </x:row>
    <x:row r="93">
      <x:c r="A93" s="28"/>
      <x:c r="B93" s="28"/>
      <x:c r="C93" s="28"/>
      <x:c r="D93" s="28"/>
      <x:c r="E93" s="28"/>
      <x:c r="F93" s="31"/>
      <x:c r="G93" s="31"/>
      <x:c r="H93" s="28"/>
      <x:c r="I93" s="28"/>
    </x:row>
    <x:row r="94">
      <x:c r="A94" s="28"/>
      <x:c r="B94" s="28"/>
      <x:c r="C94" s="28"/>
      <x:c r="D94" s="28"/>
      <x:c r="E94" s="28"/>
      <x:c r="F94" s="31"/>
      <x:c r="G94" s="31"/>
      <x:c r="H94" s="28"/>
      <x:c r="I94" s="28"/>
    </x:row>
    <x:row r="95">
      <x:c r="A95" s="28"/>
      <x:c r="B95" s="28"/>
      <x:c r="C95" s="28"/>
      <x:c r="D95" s="28"/>
      <x:c r="E95" s="28"/>
      <x:c r="F95" s="31"/>
      <x:c r="G95" s="31"/>
      <x:c r="H95" s="28"/>
      <x:c r="I95" s="28"/>
    </x:row>
    <x:row r="96">
      <x:c r="A96" s="28"/>
      <x:c r="B96" s="28"/>
      <x:c r="C96" s="28"/>
      <x:c r="D96" s="28"/>
      <x:c r="E96" s="28"/>
      <x:c r="F96" s="31"/>
      <x:c r="G96" s="31"/>
      <x:c r="H96" s="28"/>
      <x:c r="I96" s="28"/>
    </x:row>
    <x:row r="97">
      <x:c r="A97" s="28"/>
      <x:c r="B97" s="28"/>
      <x:c r="C97" s="28"/>
      <x:c r="D97" s="28"/>
      <x:c r="E97" s="28"/>
      <x:c r="F97" s="31"/>
      <x:c r="G97" s="31"/>
      <x:c r="H97" s="28"/>
      <x:c r="I97" s="28"/>
    </x:row>
    <x:row r="98">
      <x:c r="A98" s="28"/>
      <x:c r="B98" s="28"/>
      <x:c r="C98" s="28"/>
      <x:c r="D98" s="28"/>
      <x:c r="E98" s="28"/>
      <x:c r="F98" s="31"/>
      <x:c r="G98" s="31"/>
      <x:c r="H98" s="28"/>
      <x:c r="I98" s="28"/>
    </x:row>
    <x:row r="99">
      <x:c r="A99" s="28"/>
      <x:c r="B99" s="28"/>
      <x:c r="C99" s="28"/>
      <x:c r="D99" s="28"/>
      <x:c r="E99" s="28"/>
      <x:c r="F99" s="31"/>
      <x:c r="G99" s="31"/>
      <x:c r="H99" s="28"/>
      <x:c r="I99" s="28"/>
    </x:row>
    <x:row r="100">
      <x:c r="A100" s="28"/>
      <x:c r="B100" s="28"/>
      <x:c r="C100" s="28"/>
      <x:c r="D100" s="28"/>
      <x:c r="E100" s="28"/>
      <x:c r="F100" s="31"/>
      <x:c r="G100" s="31"/>
      <x:c r="H100" s="28"/>
      <x:c r="I100" s="28"/>
    </x:row>
    <x:row r="101">
      <x:c r="A101" s="28"/>
      <x:c r="B101" s="28"/>
      <x:c r="C101" s="28"/>
      <x:c r="D101" s="28"/>
      <x:c r="E101" s="28"/>
      <x:c r="F101" s="31"/>
      <x:c r="G101" s="31"/>
      <x:c r="H101" s="28"/>
      <x:c r="I101" s="28"/>
    </x:row>
    <x:row r="102">
      <x:c r="A102" s="28"/>
      <x:c r="B102" s="28"/>
      <x:c r="C102" s="28"/>
      <x:c r="D102" s="28"/>
      <x:c r="E102" s="28"/>
      <x:c r="F102" s="31"/>
      <x:c r="G102" s="31"/>
      <x:c r="H102" s="28"/>
      <x:c r="I102" s="28"/>
    </x:row>
    <x:row r="103">
      <x:c r="A103" s="28"/>
      <x:c r="B103" s="28"/>
      <x:c r="C103" s="28"/>
      <x:c r="D103" s="28"/>
      <x:c r="E103" s="28"/>
      <x:c r="F103" s="31"/>
      <x:c r="G103" s="31"/>
      <x:c r="H103" s="28"/>
      <x:c r="I103" s="28"/>
    </x:row>
    <x:row r="104">
      <x:c r="A104" s="28"/>
      <x:c r="B104" s="28"/>
      <x:c r="C104" s="28"/>
      <x:c r="D104" s="28"/>
      <x:c r="E104" s="28"/>
      <x:c r="F104" s="31"/>
      <x:c r="G104" s="31"/>
      <x:c r="H104" s="28"/>
      <x:c r="I104" s="28"/>
    </x:row>
    <x:row r="105">
      <x:c r="A105" s="28"/>
      <x:c r="B105" s="28"/>
      <x:c r="C105" s="28"/>
      <x:c r="D105" s="28"/>
      <x:c r="E105" s="28"/>
      <x:c r="F105" s="31"/>
      <x:c r="G105" s="31"/>
      <x:c r="H105" s="28"/>
      <x:c r="I105" s="28"/>
    </x:row>
    <x:row r="106">
      <x:c r="A106" s="28"/>
      <x:c r="B106" s="28"/>
      <x:c r="C106" s="28"/>
      <x:c r="D106" s="28"/>
      <x:c r="E106" s="28"/>
      <x:c r="F106" s="31"/>
      <x:c r="G106" s="31"/>
      <x:c r="H106" s="28"/>
      <x:c r="I106" s="28"/>
    </x:row>
    <x:row r="107">
      <x:c r="A107" s="28"/>
      <x:c r="B107" s="28"/>
      <x:c r="C107" s="28"/>
      <x:c r="D107" s="28"/>
      <x:c r="E107" s="28"/>
      <x:c r="F107" s="31"/>
      <x:c r="G107" s="31"/>
      <x:c r="H107" s="28"/>
      <x:c r="I107" s="28"/>
    </x:row>
    <x:row r="108">
      <x:c r="A108" s="28"/>
      <x:c r="B108" s="28"/>
      <x:c r="C108" s="28"/>
      <x:c r="D108" s="28"/>
      <x:c r="E108" s="28"/>
      <x:c r="F108" s="31"/>
      <x:c r="G108" s="31"/>
      <x:c r="H108" s="28"/>
      <x:c r="I108" s="28"/>
    </x:row>
    <x:row r="109">
      <x:c r="A109" s="28"/>
      <x:c r="B109" s="28"/>
      <x:c r="C109" s="28"/>
      <x:c r="D109" s="28"/>
      <x:c r="E109" s="28"/>
      <x:c r="F109" s="31"/>
      <x:c r="G109" s="31"/>
      <x:c r="H109" s="28"/>
      <x:c r="I109" s="28"/>
    </x:row>
    <x:row r="110">
      <x:c r="A110" s="28"/>
      <x:c r="B110" s="28"/>
      <x:c r="C110" s="28"/>
      <x:c r="D110" s="28"/>
      <x:c r="E110" s="28"/>
      <x:c r="F110" s="31"/>
      <x:c r="G110" s="31"/>
      <x:c r="H110" s="28"/>
      <x:c r="I110" s="28"/>
    </x:row>
    <x:row r="111">
      <x:c r="A111" s="28"/>
      <x:c r="B111" s="28"/>
      <x:c r="C111" s="28"/>
      <x:c r="D111" s="28"/>
      <x:c r="E111" s="28"/>
      <x:c r="F111" s="31"/>
      <x:c r="G111" s="31"/>
      <x:c r="H111" s="28"/>
      <x:c r="I111" s="28"/>
    </x:row>
    <x:row r="112">
      <x:c r="A112" s="28"/>
      <x:c r="B112" s="28"/>
      <x:c r="C112" s="28"/>
      <x:c r="D112" s="28"/>
      <x:c r="E112" s="28"/>
      <x:c r="F112" s="31"/>
      <x:c r="G112" s="31"/>
      <x:c r="H112" s="28"/>
      <x:c r="I112" s="28"/>
    </x:row>
    <x:row r="113">
      <x:c r="A113" s="28"/>
      <x:c r="B113" s="28"/>
      <x:c r="C113" s="28"/>
      <x:c r="D113" s="28"/>
      <x:c r="E113" s="28"/>
      <x:c r="F113" s="31"/>
      <x:c r="G113" s="31"/>
      <x:c r="H113" s="28"/>
      <x:c r="I113" s="28"/>
    </x:row>
    <x:row r="114">
      <x:c r="A114" s="28"/>
      <x:c r="B114" s="28"/>
      <x:c r="C114" s="28"/>
      <x:c r="D114" s="28"/>
      <x:c r="E114" s="28"/>
      <x:c r="F114" s="31"/>
      <x:c r="G114" s="31"/>
      <x:c r="H114" s="28"/>
      <x:c r="I114" s="28"/>
    </x:row>
    <x:row r="115">
      <x:c r="A115" s="28"/>
      <x:c r="B115" s="28"/>
      <x:c r="C115" s="28"/>
      <x:c r="D115" s="28"/>
      <x:c r="E115" s="28"/>
      <x:c r="F115" s="31"/>
      <x:c r="G115" s="31"/>
      <x:c r="H115" s="28"/>
      <x:c r="I115" s="28"/>
    </x:row>
    <x:row r="116">
      <x:c r="A116" s="28"/>
      <x:c r="B116" s="28"/>
      <x:c r="C116" s="28"/>
      <x:c r="D116" s="28"/>
      <x:c r="E116" s="28"/>
      <x:c r="F116" s="31"/>
      <x:c r="G116" s="31"/>
      <x:c r="H116" s="28"/>
      <x:c r="I116" s="28"/>
    </x:row>
    <x:row r="117">
      <x:c r="A117" s="28"/>
      <x:c r="B117" s="28"/>
      <x:c r="C117" s="28"/>
      <x:c r="D117" s="28"/>
      <x:c r="E117" s="28"/>
      <x:c r="F117" s="31"/>
      <x:c r="G117" s="31"/>
      <x:c r="H117" s="28"/>
      <x:c r="I117" s="28"/>
    </x:row>
    <x:row r="118">
      <x:c r="A118" s="28"/>
      <x:c r="B118" s="28"/>
      <x:c r="C118" s="28"/>
      <x:c r="D118" s="28"/>
      <x:c r="E118" s="28"/>
      <x:c r="F118" s="31"/>
      <x:c r="G118" s="31"/>
      <x:c r="H118" s="28"/>
      <x:c r="I118" s="28"/>
    </x:row>
    <x:row r="119">
      <x:c r="A119" s="28"/>
      <x:c r="B119" s="28"/>
      <x:c r="C119" s="28"/>
      <x:c r="D119" s="28"/>
      <x:c r="E119" s="28"/>
      <x:c r="F119" s="31"/>
      <x:c r="G119" s="31"/>
      <x:c r="H119" s="28"/>
      <x:c r="I119" s="28"/>
    </x:row>
    <x:row r="120">
      <x:c r="A120" s="28"/>
      <x:c r="B120" s="28"/>
      <x:c r="C120" s="28"/>
      <x:c r="D120" s="28"/>
      <x:c r="E120" s="28"/>
      <x:c r="F120" s="31"/>
      <x:c r="G120" s="31"/>
      <x:c r="H120" s="28"/>
      <x:c r="I120" s="28"/>
    </x:row>
    <x:row r="121">
      <x:c r="A121" s="28"/>
      <x:c r="B121" s="28"/>
      <x:c r="C121" s="28"/>
      <x:c r="D121" s="28"/>
      <x:c r="E121" s="28"/>
      <x:c r="F121" s="31"/>
      <x:c r="G121" s="31"/>
      <x:c r="H121" s="28"/>
      <x:c r="I121" s="28"/>
    </x:row>
    <x:row r="122">
      <x:c r="A122" s="28"/>
      <x:c r="B122" s="28"/>
      <x:c r="C122" s="28"/>
      <x:c r="D122" s="28"/>
      <x:c r="E122" s="28"/>
      <x:c r="F122" s="31"/>
      <x:c r="G122" s="31"/>
      <x:c r="H122" s="28"/>
      <x:c r="I122" s="28"/>
    </x:row>
    <x:row r="123">
      <x:c r="A123" s="28"/>
      <x:c r="B123" s="28"/>
      <x:c r="C123" s="28"/>
      <x:c r="D123" s="28"/>
      <x:c r="E123" s="28"/>
      <x:c r="F123" s="31"/>
      <x:c r="G123" s="31"/>
      <x:c r="H123" s="28"/>
      <x:c r="I123" s="28"/>
    </x:row>
    <x:row r="124">
      <x:c r="A124" s="28"/>
      <x:c r="B124" s="28"/>
      <x:c r="C124" s="28"/>
      <x:c r="D124" s="28"/>
      <x:c r="E124" s="28"/>
      <x:c r="F124" s="31"/>
      <x:c r="G124" s="31"/>
      <x:c r="H124" s="28"/>
      <x:c r="I124" s="28"/>
    </x:row>
    <x:row r="125">
      <x:c r="A125" s="28"/>
      <x:c r="B125" s="28"/>
      <x:c r="C125" s="28"/>
      <x:c r="D125" s="28"/>
      <x:c r="E125" s="28"/>
      <x:c r="F125" s="31"/>
      <x:c r="G125" s="31"/>
      <x:c r="H125" s="28"/>
      <x:c r="I125" s="28"/>
    </x:row>
    <x:row r="126">
      <x:c r="A126" s="28"/>
      <x:c r="B126" s="28"/>
      <x:c r="C126" s="28"/>
      <x:c r="D126" s="28"/>
      <x:c r="E126" s="28"/>
      <x:c r="F126" s="31"/>
      <x:c r="G126" s="31"/>
      <x:c r="H126" s="28"/>
      <x:c r="I126" s="28"/>
    </x:row>
    <x:row r="127">
      <x:c r="A127" s="28"/>
      <x:c r="B127" s="28"/>
      <x:c r="C127" s="28"/>
      <x:c r="D127" s="28"/>
      <x:c r="E127" s="28"/>
      <x:c r="F127" s="31"/>
      <x:c r="G127" s="31"/>
      <x:c r="H127" s="28"/>
      <x:c r="I127" s="28"/>
    </x:row>
    <x:row r="128">
      <x:c r="A128" s="28"/>
      <x:c r="B128" s="28"/>
      <x:c r="C128" s="28"/>
      <x:c r="D128" s="28"/>
      <x:c r="E128" s="28"/>
      <x:c r="F128" s="31"/>
      <x:c r="G128" s="31"/>
      <x:c r="H128" s="28"/>
      <x:c r="I128" s="28"/>
    </x:row>
    <x:row r="129">
      <x:c r="A129" s="28"/>
      <x:c r="B129" s="28"/>
      <x:c r="C129" s="28"/>
      <x:c r="D129" s="28"/>
      <x:c r="E129" s="28"/>
      <x:c r="F129" s="31"/>
      <x:c r="G129" s="31"/>
      <x:c r="H129" s="28"/>
      <x:c r="I129" s="28"/>
    </x:row>
    <x:row r="130">
      <x:c r="A130" s="28"/>
      <x:c r="B130" s="28"/>
      <x:c r="C130" s="28"/>
      <x:c r="D130" s="28"/>
      <x:c r="E130" s="28"/>
      <x:c r="F130" s="31"/>
      <x:c r="G130" s="31"/>
      <x:c r="H130" s="28"/>
      <x:c r="I130" s="28"/>
    </x:row>
    <x:row r="131">
      <x:c r="A131" s="28"/>
      <x:c r="B131" s="28"/>
      <x:c r="C131" s="28"/>
      <x:c r="D131" s="28"/>
      <x:c r="E131" s="28"/>
      <x:c r="F131" s="31"/>
      <x:c r="G131" s="31"/>
      <x:c r="H131" s="28"/>
      <x:c r="I131" s="28"/>
    </x:row>
    <x:row r="132">
      <x:c r="A132" s="28"/>
      <x:c r="B132" s="28"/>
      <x:c r="C132" s="28"/>
      <x:c r="D132" s="28"/>
      <x:c r="E132" s="28"/>
      <x:c r="F132" s="31"/>
      <x:c r="G132" s="31"/>
      <x:c r="H132" s="28"/>
      <x:c r="I132" s="28"/>
    </x:row>
    <x:row r="133">
      <x:c r="A133" s="28"/>
      <x:c r="B133" s="28"/>
      <x:c r="C133" s="28"/>
      <x:c r="D133" s="28"/>
      <x:c r="E133" s="28"/>
      <x:c r="F133" s="31"/>
      <x:c r="G133" s="31"/>
      <x:c r="H133" s="28"/>
      <x:c r="I133" s="28"/>
    </x:row>
    <x:row r="134">
      <x:c r="A134" s="28"/>
      <x:c r="B134" s="28"/>
      <x:c r="C134" s="28"/>
      <x:c r="D134" s="28"/>
      <x:c r="E134" s="28"/>
      <x:c r="F134" s="31"/>
      <x:c r="G134" s="31"/>
      <x:c r="H134" s="28"/>
      <x:c r="I134" s="28"/>
    </x:row>
    <x:row r="135">
      <x:c r="A135" s="28"/>
      <x:c r="B135" s="28"/>
      <x:c r="C135" s="28"/>
      <x:c r="D135" s="28"/>
      <x:c r="E135" s="28"/>
      <x:c r="F135" s="31"/>
      <x:c r="G135" s="31"/>
      <x:c r="H135" s="28"/>
      <x:c r="I135" s="28"/>
    </x:row>
    <x:row r="136">
      <x:c r="A136" s="28"/>
      <x:c r="B136" s="28"/>
      <x:c r="C136" s="28"/>
      <x:c r="D136" s="28"/>
      <x:c r="E136" s="28"/>
      <x:c r="F136" s="31"/>
      <x:c r="G136" s="31"/>
      <x:c r="H136" s="28"/>
      <x:c r="I136" s="28"/>
    </x:row>
    <x:row r="137">
      <x:c r="A137" s="28"/>
      <x:c r="B137" s="28"/>
      <x:c r="C137" s="28"/>
      <x:c r="D137" s="28"/>
      <x:c r="E137" s="28"/>
      <x:c r="F137" s="31"/>
      <x:c r="G137" s="31"/>
      <x:c r="H137" s="28"/>
      <x:c r="I137" s="28"/>
    </x:row>
    <x:row r="138">
      <x:c r="A138" s="28"/>
      <x:c r="B138" s="28"/>
      <x:c r="C138" s="28"/>
      <x:c r="D138" s="28"/>
      <x:c r="E138" s="28"/>
      <x:c r="F138" s="31"/>
      <x:c r="G138" s="31"/>
      <x:c r="H138" s="28"/>
      <x:c r="I138" s="28"/>
    </x:row>
    <x:row r="139">
      <x:c r="A139" s="28"/>
      <x:c r="B139" s="28"/>
      <x:c r="C139" s="28"/>
      <x:c r="D139" s="28"/>
      <x:c r="E139" s="28"/>
      <x:c r="F139" s="31"/>
      <x:c r="G139" s="31"/>
      <x:c r="H139" s="28"/>
      <x:c r="I139" s="28"/>
    </x:row>
    <x:row r="140">
      <x:c r="A140" s="28"/>
      <x:c r="B140" s="28"/>
      <x:c r="C140" s="28"/>
      <x:c r="D140" s="28"/>
      <x:c r="E140" s="28"/>
      <x:c r="F140" s="31"/>
      <x:c r="G140" s="31"/>
      <x:c r="H140" s="28"/>
      <x:c r="I140" s="28"/>
    </x:row>
    <x:row r="141">
      <x:c r="A141" s="28"/>
      <x:c r="B141" s="28"/>
      <x:c r="C141" s="28"/>
      <x:c r="D141" s="28"/>
      <x:c r="E141" s="28"/>
      <x:c r="F141" s="31"/>
      <x:c r="G141" s="31"/>
      <x:c r="H141" s="28"/>
      <x:c r="I141" s="28"/>
    </x:row>
    <x:row r="142">
      <x:c r="A142" s="28"/>
      <x:c r="B142" s="28"/>
      <x:c r="C142" s="28"/>
      <x:c r="D142" s="28"/>
      <x:c r="E142" s="28"/>
      <x:c r="F142" s="31"/>
      <x:c r="G142" s="31"/>
      <x:c r="H142" s="28"/>
      <x:c r="I142" s="28"/>
    </x:row>
    <x:row r="143">
      <x:c r="A143" s="28"/>
      <x:c r="B143" s="28"/>
      <x:c r="C143" s="28"/>
      <x:c r="D143" s="28"/>
      <x:c r="E143" s="28"/>
      <x:c r="F143" s="31"/>
      <x:c r="G143" s="31"/>
      <x:c r="H143" s="28"/>
      <x:c r="I143" s="28"/>
    </x:row>
    <x:row r="144">
      <x:c r="A144" s="28"/>
      <x:c r="B144" s="28"/>
      <x:c r="C144" s="28"/>
      <x:c r="D144" s="28"/>
      <x:c r="E144" s="28"/>
      <x:c r="F144" s="31"/>
      <x:c r="G144" s="31"/>
      <x:c r="H144" s="28"/>
      <x:c r="I144" s="28"/>
    </x:row>
    <x:row r="145">
      <x:c r="A145" s="28"/>
      <x:c r="B145" s="28"/>
      <x:c r="C145" s="28"/>
      <x:c r="D145" s="28"/>
      <x:c r="E145" s="28"/>
      <x:c r="F145" s="31"/>
      <x:c r="G145" s="31"/>
      <x:c r="H145" s="28"/>
      <x:c r="I145" s="28"/>
    </x:row>
    <x:row r="146">
      <x:c r="A146" s="28"/>
      <x:c r="B146" s="28"/>
      <x:c r="C146" s="28"/>
      <x:c r="D146" s="28"/>
      <x:c r="E146" s="28"/>
      <x:c r="F146" s="31"/>
      <x:c r="G146" s="31"/>
      <x:c r="H146" s="28"/>
      <x:c r="I146" s="28"/>
    </x:row>
    <x:row r="147">
      <x:c r="A147" s="28"/>
      <x:c r="B147" s="28"/>
      <x:c r="C147" s="28"/>
      <x:c r="D147" s="28"/>
      <x:c r="E147" s="28"/>
      <x:c r="F147" s="31"/>
      <x:c r="G147" s="31"/>
      <x:c r="H147" s="28"/>
      <x:c r="I147" s="28"/>
    </x:row>
    <x:row r="148">
      <x:c r="A148" s="28"/>
      <x:c r="B148" s="28"/>
      <x:c r="C148" s="28"/>
      <x:c r="D148" s="28"/>
      <x:c r="E148" s="28"/>
      <x:c r="F148" s="31"/>
      <x:c r="G148" s="31"/>
      <x:c r="H148" s="28"/>
      <x:c r="I148" s="28"/>
    </x:row>
    <x:row r="149">
      <x:c r="A149" s="28"/>
      <x:c r="B149" s="28"/>
      <x:c r="C149" s="28"/>
      <x:c r="D149" s="28"/>
      <x:c r="E149" s="28"/>
      <x:c r="F149" s="31"/>
      <x:c r="G149" s="31"/>
      <x:c r="H149" s="28"/>
      <x:c r="I149" s="28"/>
    </x:row>
    <x:row r="150">
      <x:c r="A150" s="28"/>
      <x:c r="B150" s="28"/>
      <x:c r="C150" s="28"/>
      <x:c r="D150" s="28"/>
      <x:c r="E150" s="28"/>
      <x:c r="F150" s="31"/>
      <x:c r="G150" s="31"/>
      <x:c r="H150" s="28"/>
      <x:c r="I150" s="28"/>
    </x:row>
    <x:row r="151">
      <x:c r="A151" s="28"/>
      <x:c r="B151" s="28"/>
      <x:c r="C151" s="28"/>
      <x:c r="D151" s="28"/>
      <x:c r="E151" s="28"/>
      <x:c r="F151" s="31"/>
      <x:c r="G151" s="31"/>
      <x:c r="H151" s="28"/>
      <x:c r="I151" s="28"/>
    </x:row>
    <x:row r="152">
      <x:c r="A152" s="28"/>
      <x:c r="B152" s="28"/>
      <x:c r="C152" s="28"/>
      <x:c r="D152" s="28"/>
      <x:c r="E152" s="28"/>
      <x:c r="F152" s="31"/>
      <x:c r="G152" s="31"/>
      <x:c r="H152" s="28"/>
      <x:c r="I152" s="28"/>
    </x:row>
    <x:row r="153">
      <x:c r="A153" s="28"/>
      <x:c r="B153" s="28"/>
      <x:c r="C153" s="28"/>
      <x:c r="D153" s="28"/>
      <x:c r="E153" s="28"/>
      <x:c r="F153" s="31"/>
      <x:c r="G153" s="31"/>
      <x:c r="H153" s="28"/>
      <x:c r="I153" s="28"/>
    </x:row>
    <x:row r="154">
      <x:c r="A154" s="28"/>
      <x:c r="B154" s="28"/>
      <x:c r="C154" s="28"/>
      <x:c r="D154" s="28"/>
      <x:c r="E154" s="28"/>
      <x:c r="F154" s="31"/>
      <x:c r="G154" s="31"/>
      <x:c r="H154" s="28"/>
      <x:c r="I154" s="28"/>
    </x:row>
    <x:row r="155">
      <x:c r="A155" s="28"/>
      <x:c r="B155" s="28"/>
      <x:c r="C155" s="28"/>
      <x:c r="D155" s="28"/>
      <x:c r="E155" s="28"/>
      <x:c r="F155" s="31"/>
      <x:c r="G155" s="31"/>
      <x:c r="H155" s="28"/>
      <x:c r="I155" s="28"/>
    </x:row>
    <x:row r="156">
      <x:c r="A156" s="28"/>
      <x:c r="B156" s="28"/>
      <x:c r="C156" s="28"/>
      <x:c r="D156" s="28"/>
      <x:c r="E156" s="28"/>
      <x:c r="F156" s="31"/>
      <x:c r="G156" s="31"/>
      <x:c r="H156" s="28"/>
      <x:c r="I156" s="28"/>
    </x:row>
    <x:row r="157">
      <x:c r="A157" s="28"/>
      <x:c r="B157" s="28"/>
      <x:c r="C157" s="28"/>
      <x:c r="D157" s="28"/>
      <x:c r="E157" s="28"/>
      <x:c r="F157" s="31"/>
      <x:c r="G157" s="31"/>
      <x:c r="H157" s="28"/>
      <x:c r="I157" s="28"/>
    </x:row>
    <x:row r="158">
      <x:c r="A158" s="28"/>
      <x:c r="B158" s="28"/>
      <x:c r="C158" s="28"/>
      <x:c r="D158" s="28"/>
      <x:c r="E158" s="28"/>
      <x:c r="F158" s="31"/>
      <x:c r="G158" s="31"/>
      <x:c r="H158" s="28"/>
      <x:c r="I158" s="28"/>
    </x:row>
    <x:row r="159">
      <x:c r="A159" s="28"/>
      <x:c r="B159" s="28"/>
      <x:c r="C159" s="28"/>
      <x:c r="D159" s="28"/>
      <x:c r="E159" s="28"/>
      <x:c r="F159" s="31"/>
      <x:c r="G159" s="31"/>
      <x:c r="H159" s="28"/>
      <x:c r="I159" s="28"/>
    </x:row>
    <x:row r="160">
      <x:c r="A160" s="28"/>
      <x:c r="B160" s="28"/>
      <x:c r="C160" s="28"/>
      <x:c r="D160" s="28"/>
      <x:c r="E160" s="28"/>
      <x:c r="F160" s="31"/>
      <x:c r="G160" s="31"/>
      <x:c r="H160" s="28"/>
      <x:c r="I160" s="28"/>
    </x:row>
    <x:row r="161">
      <x:c r="A161" s="28"/>
      <x:c r="B161" s="28"/>
      <x:c r="C161" s="28"/>
      <x:c r="D161" s="28"/>
      <x:c r="E161" s="28"/>
      <x:c r="F161" s="31"/>
      <x:c r="G161" s="31"/>
      <x:c r="H161" s="28"/>
      <x:c r="I161" s="28"/>
    </x:row>
    <x:row r="162">
      <x:c r="A162" s="28"/>
      <x:c r="B162" s="28"/>
      <x:c r="C162" s="28"/>
      <x:c r="D162" s="28"/>
      <x:c r="E162" s="28"/>
      <x:c r="F162" s="31"/>
      <x:c r="G162" s="31"/>
      <x:c r="H162" s="28"/>
      <x:c r="I162" s="28"/>
    </x:row>
    <x:row r="163">
      <x:c r="A163" s="28"/>
      <x:c r="B163" s="28"/>
      <x:c r="C163" s="28"/>
      <x:c r="D163" s="28"/>
      <x:c r="E163" s="28"/>
      <x:c r="F163" s="31"/>
      <x:c r="G163" s="31"/>
      <x:c r="H163" s="28"/>
      <x:c r="I163" s="28"/>
    </x:row>
    <x:row r="164">
      <x:c r="A164" s="28"/>
      <x:c r="B164" s="28"/>
      <x:c r="C164" s="28"/>
      <x:c r="D164" s="28"/>
      <x:c r="E164" s="28"/>
      <x:c r="F164" s="31"/>
      <x:c r="G164" s="31"/>
      <x:c r="H164" s="28"/>
      <x:c r="I164" s="28"/>
    </x:row>
    <x:row r="165">
      <x:c r="A165" s="28"/>
      <x:c r="B165" s="28"/>
      <x:c r="C165" s="28"/>
      <x:c r="D165" s="28"/>
      <x:c r="E165" s="28"/>
      <x:c r="F165" s="31"/>
      <x:c r="G165" s="31"/>
      <x:c r="H165" s="28"/>
      <x:c r="I165" s="28"/>
    </x:row>
    <x:row r="166">
      <x:c r="A166" s="28"/>
      <x:c r="B166" s="28"/>
      <x:c r="C166" s="28"/>
      <x:c r="D166" s="28"/>
      <x:c r="E166" s="28"/>
      <x:c r="F166" s="31"/>
      <x:c r="G166" s="31"/>
      <x:c r="H166" s="28"/>
      <x:c r="I166" s="28"/>
    </x:row>
    <x:row r="167">
      <x:c r="A167" s="28"/>
      <x:c r="B167" s="28"/>
      <x:c r="C167" s="28"/>
      <x:c r="D167" s="28"/>
      <x:c r="E167" s="28"/>
      <x:c r="F167" s="31"/>
      <x:c r="G167" s="31"/>
      <x:c r="H167" s="28"/>
      <x:c r="I167" s="28"/>
    </x:row>
    <x:row r="168">
      <x:c r="A168" s="28"/>
      <x:c r="B168" s="28"/>
      <x:c r="C168" s="28"/>
      <x:c r="D168" s="28"/>
      <x:c r="E168" s="28"/>
      <x:c r="F168" s="31"/>
      <x:c r="G168" s="31"/>
      <x:c r="H168" s="28"/>
      <x:c r="I168" s="28"/>
    </x:row>
    <x:row r="169">
      <x:c r="A169" s="28"/>
      <x:c r="B169" s="28"/>
      <x:c r="C169" s="28"/>
      <x:c r="D169" s="28"/>
      <x:c r="E169" s="28"/>
      <x:c r="F169" s="31"/>
      <x:c r="G169" s="31"/>
      <x:c r="H169" s="28"/>
      <x:c r="I169" s="28"/>
    </x:row>
    <x:row r="170">
      <x:c r="A170" s="28"/>
      <x:c r="B170" s="28"/>
      <x:c r="C170" s="28"/>
      <x:c r="D170" s="28"/>
      <x:c r="E170" s="28"/>
      <x:c r="F170" s="31"/>
      <x:c r="G170" s="31"/>
      <x:c r="H170" s="28"/>
      <x:c r="I170" s="28"/>
    </x:row>
    <x:row r="171">
      <x:c r="A171" s="28"/>
      <x:c r="B171" s="28"/>
      <x:c r="C171" s="28"/>
      <x:c r="D171" s="28"/>
      <x:c r="E171" s="28"/>
      <x:c r="F171" s="31"/>
      <x:c r="G171" s="31"/>
      <x:c r="H171" s="28"/>
      <x:c r="I171" s="28"/>
    </x:row>
    <x:row r="172">
      <x:c r="A172" s="28"/>
      <x:c r="B172" s="28"/>
      <x:c r="C172" s="28"/>
      <x:c r="D172" s="28"/>
      <x:c r="E172" s="28"/>
      <x:c r="F172" s="31"/>
      <x:c r="G172" s="31"/>
      <x:c r="H172" s="28"/>
      <x:c r="I172" s="28"/>
    </x:row>
    <x:row r="173">
      <x:c r="A173" s="28"/>
      <x:c r="B173" s="28"/>
      <x:c r="C173" s="28"/>
      <x:c r="D173" s="28"/>
      <x:c r="E173" s="28"/>
      <x:c r="F173" s="31"/>
      <x:c r="G173" s="31"/>
      <x:c r="H173" s="28"/>
      <x:c r="I173" s="28"/>
    </x:row>
    <x:row r="174">
      <x:c r="A174" s="28"/>
      <x:c r="B174" s="28"/>
      <x:c r="C174" s="28"/>
      <x:c r="D174" s="28"/>
      <x:c r="E174" s="28"/>
      <x:c r="F174" s="31"/>
      <x:c r="G174" s="31"/>
      <x:c r="H174" s="28"/>
      <x:c r="I174" s="28"/>
    </x:row>
    <x:row r="175">
      <x:c r="A175" s="28"/>
      <x:c r="B175" s="28"/>
      <x:c r="C175" s="28"/>
      <x:c r="D175" s="28"/>
      <x:c r="E175" s="28"/>
      <x:c r="F175" s="31"/>
      <x:c r="G175" s="31"/>
      <x:c r="H175" s="28"/>
      <x:c r="I175" s="28"/>
    </x:row>
    <x:row r="176">
      <x:c r="A176" s="28"/>
      <x:c r="B176" s="28"/>
      <x:c r="C176" s="28"/>
      <x:c r="D176" s="28"/>
      <x:c r="E176" s="28"/>
      <x:c r="F176" s="31"/>
      <x:c r="G176" s="31"/>
      <x:c r="H176" s="28"/>
      <x:c r="I176" s="28"/>
    </x:row>
    <x:row r="177">
      <x:c r="A177" s="28"/>
      <x:c r="B177" s="28"/>
      <x:c r="C177" s="28"/>
      <x:c r="D177" s="28"/>
      <x:c r="E177" s="28"/>
      <x:c r="F177" s="31"/>
      <x:c r="G177" s="31"/>
      <x:c r="H177" s="28"/>
      <x:c r="I177" s="28"/>
    </x:row>
    <x:row r="178">
      <x:c r="A178" s="28"/>
      <x:c r="B178" s="28"/>
      <x:c r="C178" s="28"/>
      <x:c r="D178" s="28"/>
      <x:c r="E178" s="28"/>
      <x:c r="F178" s="31"/>
      <x:c r="G178" s="31"/>
      <x:c r="H178" s="28"/>
      <x:c r="I178" s="28"/>
    </x:row>
    <x:row r="179">
      <x:c r="A179" s="28"/>
      <x:c r="B179" s="28"/>
      <x:c r="C179" s="28"/>
      <x:c r="D179" s="28"/>
      <x:c r="E179" s="28"/>
      <x:c r="F179" s="31"/>
      <x:c r="G179" s="31"/>
      <x:c r="H179" s="28"/>
      <x:c r="I179" s="28"/>
    </x:row>
    <x:row r="180">
      <x:c r="A180" s="28"/>
      <x:c r="B180" s="28"/>
      <x:c r="C180" s="28"/>
      <x:c r="D180" s="28"/>
      <x:c r="E180" s="28"/>
      <x:c r="F180" s="31"/>
      <x:c r="G180" s="31"/>
      <x:c r="H180" s="28"/>
      <x:c r="I180" s="28"/>
    </x:row>
    <x:row r="181">
      <x:c r="A181" s="28"/>
      <x:c r="B181" s="28"/>
      <x:c r="C181" s="28"/>
      <x:c r="D181" s="28"/>
      <x:c r="E181" s="28"/>
      <x:c r="F181" s="31"/>
      <x:c r="G181" s="31"/>
      <x:c r="H181" s="28"/>
      <x:c r="I181" s="28"/>
    </x:row>
    <x:row r="182">
      <x:c r="A182" s="28"/>
      <x:c r="B182" s="28"/>
      <x:c r="C182" s="28"/>
      <x:c r="D182" s="28"/>
      <x:c r="E182" s="28"/>
      <x:c r="F182" s="31"/>
      <x:c r="G182" s="31"/>
      <x:c r="H182" s="28"/>
      <x:c r="I182" s="28"/>
    </x:row>
    <x:row r="183">
      <x:c r="A183" s="28"/>
      <x:c r="B183" s="28"/>
      <x:c r="C183" s="28"/>
      <x:c r="D183" s="28"/>
      <x:c r="E183" s="28"/>
      <x:c r="F183" s="31"/>
      <x:c r="G183" s="31"/>
      <x:c r="H183" s="28"/>
      <x:c r="I183" s="28"/>
    </x:row>
    <x:row r="184">
      <x:c r="A184" s="28"/>
      <x:c r="B184" s="28"/>
      <x:c r="C184" s="28"/>
      <x:c r="D184" s="28"/>
      <x:c r="E184" s="28"/>
      <x:c r="F184" s="31"/>
      <x:c r="G184" s="31"/>
      <x:c r="H184" s="28"/>
      <x:c r="I184" s="28"/>
    </x:row>
    <x:row r="185">
      <x:c r="A185" s="28"/>
      <x:c r="B185" s="28"/>
      <x:c r="C185" s="28"/>
      <x:c r="D185" s="28"/>
      <x:c r="E185" s="28"/>
      <x:c r="F185" s="31"/>
      <x:c r="G185" s="31"/>
      <x:c r="H185" s="28"/>
      <x:c r="I185" s="28"/>
    </x:row>
    <x:row r="186">
      <x:c r="A186" s="28"/>
      <x:c r="B186" s="28"/>
      <x:c r="C186" s="28"/>
      <x:c r="D186" s="28"/>
      <x:c r="E186" s="28"/>
      <x:c r="F186" s="31"/>
      <x:c r="G186" s="31"/>
      <x:c r="H186" s="28"/>
      <x:c r="I186" s="28"/>
    </x:row>
    <x:row r="187">
      <x:c r="A187" s="28"/>
      <x:c r="B187" s="28"/>
      <x:c r="C187" s="28"/>
      <x:c r="D187" s="28"/>
      <x:c r="E187" s="28"/>
      <x:c r="F187" s="31"/>
      <x:c r="G187" s="31"/>
      <x:c r="H187" s="28"/>
      <x:c r="I187" s="28"/>
    </x:row>
    <x:row r="188">
      <x:c r="A188" s="28"/>
      <x:c r="B188" s="28"/>
      <x:c r="C188" s="28"/>
      <x:c r="D188" s="28"/>
      <x:c r="E188" s="28"/>
      <x:c r="F188" s="31"/>
      <x:c r="G188" s="31"/>
      <x:c r="H188" s="28"/>
      <x:c r="I188" s="28"/>
    </x:row>
    <x:row r="189">
      <x:c r="A189" s="28"/>
      <x:c r="B189" s="28"/>
      <x:c r="C189" s="28"/>
      <x:c r="D189" s="28"/>
      <x:c r="E189" s="28"/>
      <x:c r="F189" s="31"/>
      <x:c r="G189" s="31"/>
      <x:c r="H189" s="28"/>
      <x:c r="I189" s="28"/>
    </x:row>
    <x:row r="190">
      <x:c r="A190" s="28"/>
      <x:c r="B190" s="28"/>
      <x:c r="C190" s="28"/>
      <x:c r="D190" s="28"/>
      <x:c r="E190" s="28"/>
      <x:c r="F190" s="31"/>
      <x:c r="G190" s="31"/>
      <x:c r="H190" s="28"/>
      <x:c r="I190" s="28"/>
    </x:row>
    <x:row r="191">
      <x:c r="A191" s="28"/>
      <x:c r="B191" s="28"/>
      <x:c r="C191" s="28"/>
      <x:c r="D191" s="28"/>
      <x:c r="E191" s="28"/>
      <x:c r="F191" s="31"/>
      <x:c r="G191" s="31"/>
      <x:c r="H191" s="28"/>
      <x:c r="I191" s="28"/>
    </x:row>
    <x:row r="192">
      <x:c r="A192" s="28"/>
      <x:c r="B192" s="28"/>
      <x:c r="C192" s="28"/>
      <x:c r="D192" s="28"/>
      <x:c r="E192" s="28"/>
      <x:c r="F192" s="31"/>
      <x:c r="G192" s="31"/>
      <x:c r="H192" s="28"/>
      <x:c r="I192" s="28"/>
    </x:row>
    <x:row r="193">
      <x:c r="A193" s="28"/>
      <x:c r="B193" s="28"/>
      <x:c r="C193" s="28"/>
      <x:c r="D193" s="28"/>
      <x:c r="E193" s="28"/>
      <x:c r="F193" s="31"/>
      <x:c r="G193" s="31"/>
      <x:c r="H193" s="28"/>
      <x:c r="I193" s="28"/>
    </x:row>
    <x:row r="194">
      <x:c r="A194" s="28"/>
      <x:c r="B194" s="28"/>
      <x:c r="C194" s="28"/>
      <x:c r="D194" s="28"/>
      <x:c r="E194" s="28"/>
      <x:c r="F194" s="31"/>
      <x:c r="G194" s="31"/>
      <x:c r="H194" s="28"/>
      <x:c r="I194" s="28"/>
    </x:row>
    <x:row r="195">
      <x:c r="A195" s="28"/>
      <x:c r="B195" s="28"/>
      <x:c r="C195" s="28"/>
      <x:c r="D195" s="28"/>
      <x:c r="E195" s="28"/>
      <x:c r="F195" s="31"/>
      <x:c r="G195" s="31"/>
      <x:c r="H195" s="28"/>
      <x:c r="I195" s="28"/>
    </x:row>
    <x:row r="196">
      <x:c r="A196" s="28"/>
      <x:c r="B196" s="28"/>
      <x:c r="C196" s="28"/>
      <x:c r="D196" s="28"/>
      <x:c r="E196" s="28"/>
      <x:c r="F196" s="31"/>
      <x:c r="G196" s="31"/>
      <x:c r="H196" s="28"/>
      <x:c r="I196" s="28"/>
    </x:row>
    <x:row r="197">
      <x:c r="A197" s="28"/>
      <x:c r="B197" s="28"/>
      <x:c r="C197" s="28"/>
      <x:c r="D197" s="28"/>
      <x:c r="E197" s="28"/>
      <x:c r="F197" s="31"/>
      <x:c r="G197" s="31"/>
      <x:c r="H197" s="28"/>
      <x:c r="I197" s="28"/>
    </x:row>
    <x:row r="198">
      <x:c r="A198" s="28"/>
      <x:c r="B198" s="28"/>
      <x:c r="C198" s="28"/>
      <x:c r="D198" s="28"/>
      <x:c r="E198" s="28"/>
      <x:c r="F198" s="31"/>
      <x:c r="G198" s="31"/>
      <x:c r="H198" s="28"/>
      <x:c r="I198" s="28"/>
    </x:row>
    <x:row r="199">
      <x:c r="A199" s="28"/>
      <x:c r="B199" s="28"/>
      <x:c r="C199" s="28"/>
      <x:c r="D199" s="28"/>
      <x:c r="E199" s="28"/>
      <x:c r="F199" s="31"/>
      <x:c r="G199" s="31"/>
      <x:c r="H199" s="28"/>
      <x:c r="I199" s="28"/>
    </x:row>
    <x:row r="200">
      <x:c r="A200" s="28"/>
      <x:c r="B200" s="28"/>
      <x:c r="C200" s="28"/>
      <x:c r="D200" s="28"/>
      <x:c r="E200" s="28"/>
      <x:c r="F200" s="31"/>
      <x:c r="G200" s="31"/>
      <x:c r="H200" s="28"/>
      <x:c r="I200" s="28"/>
    </x:row>
    <x:row r="201">
      <x:c r="A201" s="28"/>
      <x:c r="B201" s="28"/>
      <x:c r="C201" s="28"/>
      <x:c r="D201" s="28"/>
      <x:c r="E201" s="28"/>
      <x:c r="F201" s="31"/>
      <x:c r="G201" s="31"/>
      <x:c r="H201" s="28"/>
      <x:c r="I201" s="28"/>
    </x:row>
  </x:sheetData>
  <x:dataValidations count="2">
    <x:dataValidation type="list" showInputMessage="1" promptTitle="Choose a value" prompt="Dataset, County Record, News, Press Release, FERC, EIA, Local Agenda, Company Website, Other" sqref="C2:C201">
      <x:formula1>"Dataset,County Record,News,Press Release,FERC,EIA,Local Agenda,Company Website,Other"</x:formula1>
    </x:dataValidation>
    <x:dataValidation type="list" showInputMessage="1" promptTitle="Choose a value" prompt="High, Medium, Low" sqref="I2:I201">
      <x:formula1>"High,Medium,Low"</x:formula1>
    </x:dataValidation>
  </x:dataValidations>
  <x:pageMargins left="0.7" right="0.7" top="0.75" bottom="0.75" header="0.3" footer="0.3"/>
  <x:tableParts count="1">
    <x:tablePart xmlns:r="http://schemas.openxmlformats.org/officeDocument/2006/relationships" r:id="R98240981504145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7.860000610351562" hidden="0" customWidth="1"/>
    <x:col min="2" max="2" width="13.569999694824219" hidden="0" customWidth="1"/>
    <x:col min="3" max="3" width="17.139999389648438" hidden="0" customWidth="1"/>
    <x:col min="4" max="4" width="15.710000038146973" hidden="0" customWidth="1"/>
    <x:col min="5" max="5" width="24.290000915527344" hidden="0" customWidth="1"/>
    <x:col min="6" max="6" width="15.710000038146973" hidden="0" customWidth="1"/>
    <x:col min="7" max="7" width="20" hidden="0" customWidth="1"/>
    <x:col min="8" max="8" width="17.860000610351562" hidden="0" customWidth="1"/>
    <x:col min="9" max="9" width="17.139999389648438" hidden="0" customWidth="1"/>
    <x:col min="10" max="10" width="18.56999969482422" hidden="0" customWidth="1"/>
    <x:col min="11" max="11" width="22.860000610351562" hidden="0" customWidth="1"/>
    <x:col min="12" max="12" width="50.709999084472656" hidden="0" customWidth="1"/>
    <x:col min="14" max="14" width="25" hidden="0" customWidth="1"/>
    <x:col min="15" max="15" width="12.859999656677246" hidden="0" customWidth="1"/>
    <x:col min="16" max="16" width="60.709999084472656" hidden="0" customWidth="1"/>
  </x:cols>
  <x:sheetData>
    <x:row r="1" ht="25.5" customHeight="1">
      <x:c r="A1" s="27" t="str">
        <x:v>asset_id</x:v>
      </x:c>
      <x:c r="B1" s="27" t="str">
        <x:v>total_score</x:v>
      </x:c>
      <x:c r="C1" s="27" t="str">
        <x:v>grid_readiness_score</x:v>
      </x:c>
      <x:c r="D1" s="27" t="str">
        <x:v>asset_scale_score</x:v>
      </x:c>
      <x:c r="E1" s="27" t="str">
        <x:v>interconnection_maturity_score</x:v>
      </x:c>
      <x:c r="F1" s="27" t="str">
        <x:v>ownership_score</x:v>
      </x:c>
      <x:c r="G1" s="27" t="str">
        <x:v>financing_signal_score</x:v>
      </x:c>
      <x:c r="H1" s="27" t="str">
        <x:v>offtaker_signal_score</x:v>
      </x:c>
      <x:c r="I1" s="27" t="str">
        <x:v>site_control_score</x:v>
      </x:c>
      <x:c r="J1" s="27" t="str">
        <x:v>local_momentum_score</x:v>
      </x:c>
      <x:c r="K1" s="27" t="str">
        <x:v>data_center_proximity_score</x:v>
      </x:c>
      <x:c r="L1" s="27" t="str">
        <x:v>score_notes</x:v>
      </x:c>
      <x:c r="N1" s="34" t="str">
        <x:v>Score Component</x:v>
      </x:c>
      <x:c r="O1" s="35" t="str">
        <x:v>Max Points</x:v>
      </x:c>
      <x:c r="P1" s="36" t="str">
        <x:v>What good looks like</x:v>
      </x:c>
    </x:row>
    <x:row r="2">
      <x:c r="A2" s="28" t="str">
        <x:v>ercot_bess_001</x:v>
      </x:c>
      <x:c r="B2" s="30" t="n">
        <x:f>IF(A2="","",SUM(C2:K2))</x:f>
        <x:v>50</x:v>
      </x:c>
      <x:c r="C2" s="30" t="n">
        <x:v>12</x:v>
      </x:c>
      <x:c r="D2" s="30" t="n">
        <x:v>15</x:v>
      </x:c>
      <x:c r="E2" s="30" t="n">
        <x:v>9</x:v>
      </x:c>
      <x:c r="F2" s="30" t="n">
        <x:v>6</x:v>
      </x:c>
      <x:c r="G2" s="30" t="n">
        <x:v>0</x:v>
      </x:c>
      <x:c r="H2" s="30" t="n">
        <x:v>0</x:v>
      </x:c>
      <x:c r="I2" s="30" t="n">
        <x:v>5</x:v>
      </x:c>
      <x:c r="J2" s="30" t="n">
        <x:v>0</x:v>
      </x:c>
      <x:c r="K2" s="30" t="n">
        <x:v>3</x:v>
      </x:c>
      <x:c r="L2" s="28" t="str">
        <x:v>Auto-scored from ERCOT GIS milestones and rough county-level demand proximity. Treat as draft until site and demand layers are verified.</x:v>
      </x:c>
      <x:c r="N2" s="37" t="str">
        <x:v>Grid readiness</x:v>
      </x:c>
      <x:c r="O2" s="38" t="n">
        <x:v>20</x:v>
      </x:c>
      <x:c r="P2" s="39" t="str">
        <x:v>Executed or advanced interconnection evidence, clear POI, useful voltage level.</x:v>
      </x:c>
    </x:row>
    <x:row r="3">
      <x:c r="A3" s="28" t="str">
        <x:v>ercot_bess_002</x:v>
      </x:c>
      <x:c r="B3" s="30" t="n">
        <x:f>IF(A3="","",SUM(C3:K3))</x:f>
        <x:v>50</x:v>
      </x:c>
      <x:c r="C3" s="30" t="n">
        <x:v>12</x:v>
      </x:c>
      <x:c r="D3" s="30" t="n">
        <x:v>15</x:v>
      </x:c>
      <x:c r="E3" s="30" t="n">
        <x:v>9</x:v>
      </x:c>
      <x:c r="F3" s="30" t="n">
        <x:v>6</x:v>
      </x:c>
      <x:c r="G3" s="30" t="n">
        <x:v>0</x:v>
      </x:c>
      <x:c r="H3" s="30" t="n">
        <x:v>0</x:v>
      </x:c>
      <x:c r="I3" s="30" t="n">
        <x:v>5</x:v>
      </x:c>
      <x:c r="J3" s="30" t="n">
        <x:v>0</x:v>
      </x:c>
      <x:c r="K3" s="30" t="n">
        <x:v>3</x:v>
      </x:c>
      <x:c r="L3" s="28" t="str">
        <x:v>Auto-scored from ERCOT GIS milestones and rough county-level demand proximity. Treat as draft until site and demand layers are verified.</x:v>
      </x:c>
      <x:c r="N3" s="37" t="str">
        <x:v>Asset scale</x:v>
      </x:c>
      <x:c r="O3" s="38" t="n">
        <x:v>15</x:v>
      </x:c>
      <x:c r="P3" s="39" t="str">
        <x:v>Large enough to matter for power buyers or grid strategy.</x:v>
      </x:c>
    </x:row>
    <x:row r="4">
      <x:c r="A4" s="28" t="str">
        <x:v>ercot_bess_003</x:v>
      </x:c>
      <x:c r="B4" s="30" t="n">
        <x:f>IF(A4="","",SUM(C4:K4))</x:f>
        <x:v>50</x:v>
      </x:c>
      <x:c r="C4" s="30" t="n">
        <x:v>12</x:v>
      </x:c>
      <x:c r="D4" s="30" t="n">
        <x:v>15</x:v>
      </x:c>
      <x:c r="E4" s="30" t="n">
        <x:v>9</x:v>
      </x:c>
      <x:c r="F4" s="30" t="n">
        <x:v>6</x:v>
      </x:c>
      <x:c r="G4" s="30" t="n">
        <x:v>0</x:v>
      </x:c>
      <x:c r="H4" s="30" t="n">
        <x:v>0</x:v>
      </x:c>
      <x:c r="I4" s="30" t="n">
        <x:v>5</x:v>
      </x:c>
      <x:c r="J4" s="30" t="n">
        <x:v>0</x:v>
      </x:c>
      <x:c r="K4" s="30" t="n">
        <x:v>3</x:v>
      </x:c>
      <x:c r="L4" s="28" t="str">
        <x:v>Auto-scored from ERCOT GIS milestones and rough county-level demand proximity. Treat as draft until site and demand layers are verified.</x:v>
      </x:c>
      <x:c r="N4" s="37" t="str">
        <x:v>Interconnection maturity</x:v>
      </x:c>
      <x:c r="O4" s="38" t="n">
        <x:v>15</x:v>
      </x:c>
      <x:c r="P4" s="39" t="str">
        <x:v>Progressed beyond early queue signal; agreement or late-stage milestone preferred.</x:v>
      </x:c>
    </x:row>
    <x:row r="5">
      <x:c r="A5" s="28" t="str">
        <x:v>ercot_bess_004</x:v>
      </x:c>
      <x:c r="B5" s="30" t="n">
        <x:f>IF(A5="","",SUM(C5:K5))</x:f>
        <x:v>50</x:v>
      </x:c>
      <x:c r="C5" s="30" t="n">
        <x:v>12</x:v>
      </x:c>
      <x:c r="D5" s="30" t="n">
        <x:v>15</x:v>
      </x:c>
      <x:c r="E5" s="30" t="n">
        <x:v>9</x:v>
      </x:c>
      <x:c r="F5" s="30" t="n">
        <x:v>6</x:v>
      </x:c>
      <x:c r="G5" s="30" t="n">
        <x:v>0</x:v>
      </x:c>
      <x:c r="H5" s="30" t="n">
        <x:v>0</x:v>
      </x:c>
      <x:c r="I5" s="30" t="n">
        <x:v>5</x:v>
      </x:c>
      <x:c r="J5" s="30" t="n">
        <x:v>0</x:v>
      </x:c>
      <x:c r="K5" s="30" t="n">
        <x:v>3</x:v>
      </x:c>
      <x:c r="L5" s="28" t="str">
        <x:v>Auto-scored from ERCOT GIS milestones and rough county-level demand proximity. Treat as draft until site and demand layers are verified.</x:v>
      </x:c>
      <x:c r="N5" s="37" t="str">
        <x:v>Ownership / developer quality</x:v>
      </x:c>
      <x:c r="O5" s="38" t="n">
        <x:v>10</x:v>
      </x:c>
      <x:c r="P5" s="39" t="str">
        <x:v>Credible sponsor, repeat developer, or capitalized owner.</x:v>
      </x:c>
    </x:row>
    <x:row r="6">
      <x:c r="A6" s="28" t="str">
        <x:v>ercot_bess_005</x:v>
      </x:c>
      <x:c r="B6" s="30" t="n">
        <x:f>IF(A6="","",SUM(C6:K6))</x:f>
        <x:v>64</x:v>
      </x:c>
      <x:c r="C6" s="30" t="n">
        <x:v>12</x:v>
      </x:c>
      <x:c r="D6" s="30" t="n">
        <x:v>15</x:v>
      </x:c>
      <x:c r="E6" s="30" t="n">
        <x:v>9</x:v>
      </x:c>
      <x:c r="F6" s="30" t="n">
        <x:v>7</x:v>
      </x:c>
      <x:c r="G6" s="30" t="n">
        <x:v>0</x:v>
      </x:c>
      <x:c r="H6" s="30" t="n">
        <x:v>0</x:v>
      </x:c>
      <x:c r="I6" s="30" t="n">
        <x:v>5</x:v>
      </x:c>
      <x:c r="J6" s="30" t="n">
        <x:v>2</x:v>
      </x:c>
      <x:c r="K6" s="30" t="n">
        <x:v>14</x:v>
      </x:c>
      <x:c r="L6" s="28" t="str">
        <x:v>Auto-scored from ERCOT GIS milestones and rough county-level demand proximity. Treat as draft until site and demand layers are verified. Enriched with Kickstart VI corroboration and DFW corridor demand context. Still needs site control and entity ownership research.</x:v>
      </x:c>
      <x:c r="N6" s="37" t="str">
        <x:v>Financing signal</x:v>
      </x:c>
      <x:c r="O6" s="38" t="n">
        <x:v>10</x:v>
      </x:c>
      <x:c r="P6" s="39" t="str">
        <x:v>Debt, tax equity, acquisition, sponsor capital, or credible financing event.</x:v>
      </x:c>
    </x:row>
    <x:row r="7">
      <x:c r="A7" s="28" t="str">
        <x:v>ercot_bess_006</x:v>
      </x:c>
      <x:c r="B7" s="30" t="n">
        <x:f>IF(A7="","",SUM(C7:K7))</x:f>
        <x:v>64</x:v>
      </x:c>
      <x:c r="C7" s="30" t="n">
        <x:v>12</x:v>
      </x:c>
      <x:c r="D7" s="30" t="n">
        <x:v>15</x:v>
      </x:c>
      <x:c r="E7" s="30" t="n">
        <x:v>9</x:v>
      </x:c>
      <x:c r="F7" s="30" t="n">
        <x:v>7</x:v>
      </x:c>
      <x:c r="G7" s="30" t="n">
        <x:v>0</x:v>
      </x:c>
      <x:c r="H7" s="30" t="n">
        <x:v>0</x:v>
      </x:c>
      <x:c r="I7" s="30" t="n">
        <x:v>5</x:v>
      </x:c>
      <x:c r="J7" s="30" t="n">
        <x:v>2</x:v>
      </x:c>
      <x:c r="K7" s="30" t="n">
        <x:v>14</x:v>
      </x:c>
      <x:c r="L7" s="28" t="str">
        <x:v>Auto-scored from ERCOT GIS milestones and rough county-level demand proximity. Treat as draft until site and demand layers are verified. Enriched with Kickstart V corroboration and DFW corridor demand context. Clustered with Kickstart VI and earlier Ellis County Kickstart entries.</x:v>
      </x:c>
      <x:c r="N7" s="37" t="str">
        <x:v>PPA / offtaker signal</x:v>
      </x:c>
      <x:c r="O7" s="38" t="n">
        <x:v>5</x:v>
      </x:c>
      <x:c r="P7" s="39" t="str">
        <x:v>Known or strongly indicated buyer, including private or behind-the-meter relationship.</x:v>
      </x:c>
    </x:row>
    <x:row r="8">
      <x:c r="A8" s="28" t="str">
        <x:v>ercot_bess_007</x:v>
      </x:c>
      <x:c r="B8" s="30" t="n">
        <x:f>IF(A8="","",SUM(C8:K8))</x:f>
        <x:v>60</x:v>
      </x:c>
      <x:c r="C8" s="30" t="n">
        <x:v>12</x:v>
      </x:c>
      <x:c r="D8" s="30" t="n">
        <x:v>15</x:v>
      </x:c>
      <x:c r="E8" s="30" t="n">
        <x:v>9</x:v>
      </x:c>
      <x:c r="F8" s="30" t="n">
        <x:v>6</x:v>
      </x:c>
      <x:c r="G8" s="30" t="n">
        <x:v>0</x:v>
      </x:c>
      <x:c r="H8" s="30" t="n">
        <x:v>0</x:v>
      </x:c>
      <x:c r="I8" s="30" t="n">
        <x:v>5</x:v>
      </x:c>
      <x:c r="J8" s="30" t="n">
        <x:v>0</x:v>
      </x:c>
      <x:c r="K8" s="30" t="n">
        <x:v>13</x:v>
      </x:c>
      <x:c r="L8" s="28" t="str">
        <x:v>Auto-scored from ERCOT GIS milestones and rough county-level demand proximity. Treat as draft until site and demand layers are verified.</x:v>
      </x:c>
      <x:c r="N8" s="37" t="str">
        <x:v>Site control / land evidence</x:v>
      </x:c>
      <x:c r="O8" s="38" t="n">
        <x:v>5</x:v>
      </x:c>
      <x:c r="P8" s="39" t="str">
        <x:v>Parcel purchase, lease, option, zoning, annexation, or county record signal.</x:v>
      </x:c>
    </x:row>
    <x:row r="9">
      <x:c r="A9" s="28" t="str">
        <x:v>ercot_bess_008</x:v>
      </x:c>
      <x:c r="B9" s="30" t="n">
        <x:f>IF(A9="","",SUM(C9:K9))</x:f>
        <x:v>60</x:v>
      </x:c>
      <x:c r="C9" s="30" t="n">
        <x:v>12</x:v>
      </x:c>
      <x:c r="D9" s="30" t="n">
        <x:v>15</x:v>
      </x:c>
      <x:c r="E9" s="30" t="n">
        <x:v>9</x:v>
      </x:c>
      <x:c r="F9" s="30" t="n">
        <x:v>6</x:v>
      </x:c>
      <x:c r="G9" s="30" t="n">
        <x:v>0</x:v>
      </x:c>
      <x:c r="H9" s="30" t="n">
        <x:v>0</x:v>
      </x:c>
      <x:c r="I9" s="30" t="n">
        <x:v>5</x:v>
      </x:c>
      <x:c r="J9" s="30" t="n">
        <x:v>0</x:v>
      </x:c>
      <x:c r="K9" s="30" t="n">
        <x:v>13</x:v>
      </x:c>
      <x:c r="L9" s="28" t="str">
        <x:v>Auto-scored from ERCOT GIS milestones and rough county-level demand proximity. Treat as draft until site and demand layers are verified.</x:v>
      </x:c>
      <x:c r="N9" s="37" t="str">
        <x:v>Local permitting momentum</x:v>
      </x:c>
      <x:c r="O9" s="38" t="n">
        <x:v>5</x:v>
      </x:c>
      <x:c r="P9" s="39" t="str">
        <x:v>Agenda item, permit, abatement, public hearing, or local government activity.</x:v>
      </x:c>
    </x:row>
    <x:row r="10">
      <x:c r="A10" s="28" t="str">
        <x:v>ercot_bess_009</x:v>
      </x:c>
      <x:c r="B10" s="30" t="n">
        <x:f>IF(A10="","",SUM(C10:K10))</x:f>
        <x:v>60</x:v>
      </x:c>
      <x:c r="C10" s="30" t="n">
        <x:v>12</x:v>
      </x:c>
      <x:c r="D10" s="30" t="n">
        <x:v>15</x:v>
      </x:c>
      <x:c r="E10" s="30" t="n">
        <x:v>9</x:v>
      </x:c>
      <x:c r="F10" s="30" t="n">
        <x:v>6</x:v>
      </x:c>
      <x:c r="G10" s="30" t="n">
        <x:v>0</x:v>
      </x:c>
      <x:c r="H10" s="30" t="n">
        <x:v>0</x:v>
      </x:c>
      <x:c r="I10" s="30" t="n">
        <x:v>5</x:v>
      </x:c>
      <x:c r="J10" s="30" t="n">
        <x:v>0</x:v>
      </x:c>
      <x:c r="K10" s="30" t="n">
        <x:v>13</x:v>
      </x:c>
      <x:c r="L10" s="28" t="str">
        <x:v>Auto-scored from ERCOT GIS milestones and rough county-level demand proximity. Treat as draft until site and demand layers are verified.</x:v>
      </x:c>
      <x:c r="N10" s="40" t="str">
        <x:v>Data center proximity</x:v>
      </x:c>
      <x:c r="O10" s="41" t="n">
        <x:v>15</x:v>
      </x:c>
      <x:c r="P10" s="42" t="str">
        <x:v>Near operating/planned data center or major power demand corridor.</x:v>
      </x:c>
    </x:row>
    <x:row r="11">
      <x:c r="A11" s="28" t="str">
        <x:v>ercot_bess_010</x:v>
      </x:c>
      <x:c r="B11" s="30" t="n">
        <x:f>IF(A11="","",SUM(C11:K11))</x:f>
        <x:v>60</x:v>
      </x:c>
      <x:c r="C11" s="30" t="n">
        <x:v>16</x:v>
      </x:c>
      <x:c r="D11" s="30" t="n">
        <x:v>15</x:v>
      </x:c>
      <x:c r="E11" s="30" t="n">
        <x:v>12</x:v>
      </x:c>
      <x:c r="F11" s="30" t="n">
        <x:v>8</x:v>
      </x:c>
      <x:c r="G11" s="30" t="n">
        <x:v>0</x:v>
      </x:c>
      <x:c r="H11" s="30" t="n">
        <x:v>0</x:v>
      </x:c>
      <x:c r="I11" s="30" t="n">
        <x:v>5</x:v>
      </x:c>
      <x:c r="J11" s="30" t="n">
        <x:v>1</x:v>
      </x:c>
      <x:c r="K11" s="30" t="n">
        <x:v>3</x:v>
      </x:c>
      <x:c r="L11" s="28" t="str">
        <x:v>Auto-scored from ERCOT GIS milestones and rough county-level demand proximity. Treat as draft until site and demand layers are verified. Enriched with Comanche BESS corroboration and low-confidence ownership-network lead; verify via Texas SOS before relying on it.</x:v>
      </x:c>
    </x:row>
    <x:row r="12">
      <x:c r="A12" s="28" t="str">
        <x:v>ercot_bess_011</x:v>
      </x:c>
      <x:c r="B12" s="30" t="n">
        <x:f>IF(A12="","",SUM(C12:K12))</x:f>
        <x:v>55</x:v>
      </x:c>
      <x:c r="C12" s="30" t="n">
        <x:v>12</x:v>
      </x:c>
      <x:c r="D12" s="30" t="n">
        <x:v>15</x:v>
      </x:c>
      <x:c r="E12" s="30" t="n">
        <x:v>9</x:v>
      </x:c>
      <x:c r="F12" s="30" t="n">
        <x:v>6</x:v>
      </x:c>
      <x:c r="G12" s="30" t="n">
        <x:v>0</x:v>
      </x:c>
      <x:c r="H12" s="30" t="n">
        <x:v>0</x:v>
      </x:c>
      <x:c r="I12" s="30" t="n">
        <x:v>5</x:v>
      </x:c>
      <x:c r="J12" s="30" t="n">
        <x:v>0</x:v>
      </x:c>
      <x:c r="K12" s="30" t="n">
        <x:v>8</x:v>
      </x:c>
      <x:c r="L12" s="28" t="str">
        <x:v>Auto-scored from ERCOT GIS milestones and rough county-level demand proximity. Treat as draft until site and demand layers are verified.</x:v>
      </x:c>
    </x:row>
    <x:row r="13">
      <x:c r="A13" s="28" t="str">
        <x:v>ercot_bess_012</x:v>
      </x:c>
      <x:c r="B13" s="30" t="n">
        <x:f>IF(A13="","",SUM(C13:K13))</x:f>
        <x:v>60</x:v>
      </x:c>
      <x:c r="C13" s="30" t="n">
        <x:v>12</x:v>
      </x:c>
      <x:c r="D13" s="30" t="n">
        <x:v>15</x:v>
      </x:c>
      <x:c r="E13" s="30" t="n">
        <x:v>9</x:v>
      </x:c>
      <x:c r="F13" s="30" t="n">
        <x:v>6</x:v>
      </x:c>
      <x:c r="G13" s="30" t="n">
        <x:v>0</x:v>
      </x:c>
      <x:c r="H13" s="30" t="n">
        <x:v>0</x:v>
      </x:c>
      <x:c r="I13" s="30" t="n">
        <x:v>5</x:v>
      </x:c>
      <x:c r="J13" s="30" t="n">
        <x:v>0</x:v>
      </x:c>
      <x:c r="K13" s="30" t="n">
        <x:v>13</x:v>
      </x:c>
      <x:c r="L13" s="28" t="str">
        <x:v>Auto-scored from ERCOT GIS milestones and rough county-level demand proximity. Treat as draft until site and demand layers are verified.</x:v>
      </x:c>
    </x:row>
    <x:row r="14">
      <x:c r="A14" s="28" t="str">
        <x:v>ercot_bess_013</x:v>
      </x:c>
      <x:c r="B14" s="30" t="n">
        <x:f>IF(A14="","",SUM(C14:K14))</x:f>
        <x:v>50</x:v>
      </x:c>
      <x:c r="C14" s="30" t="n">
        <x:v>12</x:v>
      </x:c>
      <x:c r="D14" s="30" t="n">
        <x:v>15</x:v>
      </x:c>
      <x:c r="E14" s="30" t="n">
        <x:v>9</x:v>
      </x:c>
      <x:c r="F14" s="30" t="n">
        <x:v>6</x:v>
      </x:c>
      <x:c r="G14" s="30" t="n">
        <x:v>0</x:v>
      </x:c>
      <x:c r="H14" s="30" t="n">
        <x:v>0</x:v>
      </x:c>
      <x:c r="I14" s="30" t="n">
        <x:v>5</x:v>
      </x:c>
      <x:c r="J14" s="30" t="n">
        <x:v>0</x:v>
      </x:c>
      <x:c r="K14" s="30" t="n">
        <x:v>3</x:v>
      </x:c>
      <x:c r="L14" s="28" t="str">
        <x:v>Auto-scored from ERCOT GIS milestones and rough county-level demand proximity. Treat as draft until site and demand layers are verified.</x:v>
      </x:c>
    </x:row>
    <x:row r="15">
      <x:c r="A15" s="28" t="str">
        <x:v>ercot_bess_014</x:v>
      </x:c>
      <x:c r="B15" s="30" t="n">
        <x:f>IF(A15="","",SUM(C15:K15))</x:f>
        <x:v>69</x:v>
      </x:c>
      <x:c r="C15" s="30" t="n">
        <x:v>16</x:v>
      </x:c>
      <x:c r="D15" s="30" t="n">
        <x:v>15</x:v>
      </x:c>
      <x:c r="E15" s="30" t="n">
        <x:v>12</x:v>
      </x:c>
      <x:c r="F15" s="30" t="n">
        <x:v>6</x:v>
      </x:c>
      <x:c r="G15" s="30" t="n">
        <x:v>0</x:v>
      </x:c>
      <x:c r="H15" s="30" t="n">
        <x:v>0</x:v>
      </x:c>
      <x:c r="I15" s="30" t="n">
        <x:v>5</x:v>
      </x:c>
      <x:c r="J15" s="30" t="n">
        <x:v>1</x:v>
      </x:c>
      <x:c r="K15" s="30" t="n">
        <x:v>14</x:v>
      </x:c>
      <x:c r="L15" s="28" t="str">
        <x:v>Auto-scored from ERCOT GIS milestones and rough county-level demand proximity. Treat as draft until site and demand layers are verified. Enriched with Hobby BESS corroboration and Houston demand-corridor context. Needs POI/substation geocoding.</x:v>
      </x:c>
    </x:row>
    <x:row r="16">
      <x:c r="A16" s="28" t="str">
        <x:v>ercot_bess_015</x:v>
      </x:c>
      <x:c r="B16" s="30" t="n">
        <x:f>IF(A16="","",SUM(C16:K16))</x:f>
        <x:v>50</x:v>
      </x:c>
      <x:c r="C16" s="30" t="n">
        <x:v>12</x:v>
      </x:c>
      <x:c r="D16" s="30" t="n">
        <x:v>15</x:v>
      </x:c>
      <x:c r="E16" s="30" t="n">
        <x:v>9</x:v>
      </x:c>
      <x:c r="F16" s="30" t="n">
        <x:v>6</x:v>
      </x:c>
      <x:c r="G16" s="30" t="n">
        <x:v>0</x:v>
      </x:c>
      <x:c r="H16" s="30" t="n">
        <x:v>0</x:v>
      </x:c>
      <x:c r="I16" s="30" t="n">
        <x:v>5</x:v>
      </x:c>
      <x:c r="J16" s="30" t="n">
        <x:v>0</x:v>
      </x:c>
      <x:c r="K16" s="30" t="n">
        <x:v>3</x:v>
      </x:c>
      <x:c r="L16" s="28" t="str">
        <x:v>Auto-scored from ERCOT GIS milestones and rough county-level demand proximity. Treat as draft until site and demand layers are verified.</x:v>
      </x:c>
    </x:row>
    <x:row r="17">
      <x:c r="A17" s="28" t="str">
        <x:v>ercot_bess_016</x:v>
      </x:c>
      <x:c r="B17" s="30" t="n">
        <x:f>IF(A17="","",SUM(C17:K17))</x:f>
        <x:v>55</x:v>
      </x:c>
      <x:c r="C17" s="30" t="n">
        <x:v>12</x:v>
      </x:c>
      <x:c r="D17" s="30" t="n">
        <x:v>15</x:v>
      </x:c>
      <x:c r="E17" s="30" t="n">
        <x:v>9</x:v>
      </x:c>
      <x:c r="F17" s="30" t="n">
        <x:v>6</x:v>
      </x:c>
      <x:c r="G17" s="30" t="n">
        <x:v>0</x:v>
      </x:c>
      <x:c r="H17" s="30" t="n">
        <x:v>0</x:v>
      </x:c>
      <x:c r="I17" s="30" t="n">
        <x:v>5</x:v>
      </x:c>
      <x:c r="J17" s="30" t="n">
        <x:v>0</x:v>
      </x:c>
      <x:c r="K17" s="30" t="n">
        <x:v>8</x:v>
      </x:c>
      <x:c r="L17" s="28" t="str">
        <x:v>Auto-scored from ERCOT GIS milestones and rough county-level demand proximity. Treat as draft until site and demand layers are verified.</x:v>
      </x:c>
    </x:row>
    <x:row r="18">
      <x:c r="A18" s="28" t="str">
        <x:v>ercot_bess_017</x:v>
      </x:c>
      <x:c r="B18" s="30" t="n">
        <x:f>IF(A18="","",SUM(C18:K18))</x:f>
        <x:v>72</x:v>
      </x:c>
      <x:c r="C18" s="30" t="n">
        <x:v>20</x:v>
      </x:c>
      <x:c r="D18" s="30" t="n">
        <x:v>15</x:v>
      </x:c>
      <x:c r="E18" s="30" t="n">
        <x:v>15</x:v>
      </x:c>
      <x:c r="F18" s="30" t="n">
        <x:v>6</x:v>
      </x:c>
      <x:c r="G18" s="30" t="n">
        <x:v>8</x:v>
      </x:c>
      <x:c r="H18" s="30" t="n">
        <x:v>0</x:v>
      </x:c>
      <x:c r="I18" s="30" t="n">
        <x:v>5</x:v>
      </x:c>
      <x:c r="J18" s="30" t="n">
        <x:v>0</x:v>
      </x:c>
      <x:c r="K18" s="30" t="n">
        <x:v>3</x:v>
      </x:c>
      <x:c r="L18" s="28" t="str">
        <x:v>Auto-scored from ERCOT GIS milestones and rough county-level demand proximity. Treat as draft until site and demand layers are verified.</x:v>
      </x:c>
    </x:row>
    <x:row r="19">
      <x:c r="A19" s="28" t="str">
        <x:v>ercot_bess_018</x:v>
      </x:c>
      <x:c r="B19" s="30" t="n">
        <x:f>IF(A19="","",SUM(C19:K19))</x:f>
        <x:v>62</x:v>
      </x:c>
      <x:c r="C19" s="30" t="n">
        <x:v>12</x:v>
      </x:c>
      <x:c r="D19" s="30" t="n">
        <x:v>15</x:v>
      </x:c>
      <x:c r="E19" s="30" t="n">
        <x:v>9</x:v>
      </x:c>
      <x:c r="F19" s="30" t="n">
        <x:v>6</x:v>
      </x:c>
      <x:c r="G19" s="30" t="n">
        <x:v>0</x:v>
      </x:c>
      <x:c r="H19" s="30" t="n">
        <x:v>0</x:v>
      </x:c>
      <x:c r="I19" s="30" t="n">
        <x:v>5</x:v>
      </x:c>
      <x:c r="J19" s="30" t="n">
        <x:v>1</x:v>
      </x:c>
      <x:c r="K19" s="30" t="n">
        <x:v>14</x:v>
      </x:c>
      <x:c r="L19" s="28" t="str">
        <x:v>Auto-scored from ERCOT GIS milestones and rough county-level demand proximity. Treat as draft until site and demand layers are verified. Enriched with Knight Airport BESS corroboration and Houston demand-corridor context. Needs POI/substation geocoding.</x:v>
      </x:c>
    </x:row>
    <x:row r="20">
      <x:c r="A20" s="28" t="str">
        <x:v>ercot_bess_019</x:v>
      </x:c>
      <x:c r="B20" s="30" t="n">
        <x:f>IF(A20="","",SUM(C20:K20))</x:f>
        <x:v>81</x:v>
      </x:c>
      <x:c r="C20" s="30" t="n">
        <x:v>20</x:v>
      </x:c>
      <x:c r="D20" s="30" t="n">
        <x:v>15</x:v>
      </x:c>
      <x:c r="E20" s="30" t="n">
        <x:v>15</x:v>
      </x:c>
      <x:c r="F20" s="30" t="n">
        <x:v>9</x:v>
      </x:c>
      <x:c r="G20" s="30" t="n">
        <x:v>0</x:v>
      </x:c>
      <x:c r="H20" s="30" t="n">
        <x:v>0</x:v>
      </x:c>
      <x:c r="I20" s="30" t="n">
        <x:v>5</x:v>
      </x:c>
      <x:c r="J20" s="30" t="n">
        <x:v>3</x:v>
      </x:c>
      <x:c r="K20" s="30" t="n">
        <x:v>14</x:v>
      </x:c>
      <x:c r="L20" s="28" t="str">
        <x:v>Auto-scored from ERCOT GIS milestones and rough county-level demand proximity. Treat as draft until site and demand layers are verified. Enriched with Greenbelt Renewables project-page signal, Avalon interconnection corroboration, and Houston/Fort Bend demand context.</x:v>
      </x:c>
    </x:row>
    <x:row r="21">
      <x:c r="A21" s="28" t="str">
        <x:v>ercot_bess_020</x:v>
      </x:c>
      <x:c r="B21" s="30" t="n">
        <x:f>IF(A21="","",SUM(C21:K21))</x:f>
        <x:v>50</x:v>
      </x:c>
      <x:c r="C21" s="30" t="n">
        <x:v>12</x:v>
      </x:c>
      <x:c r="D21" s="30" t="n">
        <x:v>15</x:v>
      </x:c>
      <x:c r="E21" s="30" t="n">
        <x:v>9</x:v>
      </x:c>
      <x:c r="F21" s="30" t="n">
        <x:v>6</x:v>
      </x:c>
      <x:c r="G21" s="30" t="n">
        <x:v>0</x:v>
      </x:c>
      <x:c r="H21" s="30" t="n">
        <x:v>0</x:v>
      </x:c>
      <x:c r="I21" s="30" t="n">
        <x:v>5</x:v>
      </x:c>
      <x:c r="J21" s="30" t="n">
        <x:v>0</x:v>
      </x:c>
      <x:c r="K21" s="30" t="n">
        <x:v>3</x:v>
      </x:c>
      <x:c r="L21" s="28" t="str">
        <x:v>Auto-scored from ERCOT GIS milestones and rough county-level demand proximity. Treat as draft until site and demand layers are verified.</x:v>
      </x:c>
    </x:row>
    <x:row r="22">
      <x:c r="A22" s="28" t="str">
        <x:v>ercot_bess_021</x:v>
      </x:c>
      <x:c r="B22" s="30" t="n">
        <x:f>IF(A22="","",SUM(C22:K22))</x:f>
        <x:v>60</x:v>
      </x:c>
      <x:c r="C22" s="30" t="n">
        <x:v>12</x:v>
      </x:c>
      <x:c r="D22" s="30" t="n">
        <x:v>15</x:v>
      </x:c>
      <x:c r="E22" s="30" t="n">
        <x:v>9</x:v>
      </x:c>
      <x:c r="F22" s="30" t="n">
        <x:v>6</x:v>
      </x:c>
      <x:c r="G22" s="30" t="n">
        <x:v>0</x:v>
      </x:c>
      <x:c r="H22" s="30" t="n">
        <x:v>0</x:v>
      </x:c>
      <x:c r="I22" s="30" t="n">
        <x:v>5</x:v>
      </x:c>
      <x:c r="J22" s="30" t="n">
        <x:v>0</x:v>
      </x:c>
      <x:c r="K22" s="30" t="n">
        <x:v>13</x:v>
      </x:c>
      <x:c r="L22" s="28" t="str">
        <x:v>Auto-scored from ERCOT GIS milestones and rough county-level demand proximity. Treat as draft until site and demand layers are verified.</x:v>
      </x:c>
    </x:row>
    <x:row r="23">
      <x:c r="A23" s="28" t="str">
        <x:v>ercot_bess_022</x:v>
      </x:c>
      <x:c r="B23" s="30" t="n">
        <x:f>IF(A23="","",SUM(C23:K23))</x:f>
        <x:v>60</x:v>
      </x:c>
      <x:c r="C23" s="30" t="n">
        <x:v>12</x:v>
      </x:c>
      <x:c r="D23" s="30" t="n">
        <x:v>15</x:v>
      </x:c>
      <x:c r="E23" s="30" t="n">
        <x:v>9</x:v>
      </x:c>
      <x:c r="F23" s="30" t="n">
        <x:v>6</x:v>
      </x:c>
      <x:c r="G23" s="30" t="n">
        <x:v>0</x:v>
      </x:c>
      <x:c r="H23" s="30" t="n">
        <x:v>0</x:v>
      </x:c>
      <x:c r="I23" s="30" t="n">
        <x:v>5</x:v>
      </x:c>
      <x:c r="J23" s="30" t="n">
        <x:v>0</x:v>
      </x:c>
      <x:c r="K23" s="30" t="n">
        <x:v>13</x:v>
      </x:c>
      <x:c r="L23" s="28" t="str">
        <x:v>Auto-scored from ERCOT GIS milestones and rough county-level demand proximity. Treat as draft until site and demand layers are verified.</x:v>
      </x:c>
    </x:row>
    <x:row r="24">
      <x:c r="A24" s="28" t="str">
        <x:v>ercot_bess_023</x:v>
      </x:c>
      <x:c r="B24" s="30" t="n">
        <x:f>IF(A24="","",SUM(C24:K24))</x:f>
        <x:v>55</x:v>
      </x:c>
      <x:c r="C24" s="30" t="n">
        <x:v>12</x:v>
      </x:c>
      <x:c r="D24" s="30" t="n">
        <x:v>15</x:v>
      </x:c>
      <x:c r="E24" s="30" t="n">
        <x:v>9</x:v>
      </x:c>
      <x:c r="F24" s="30" t="n">
        <x:v>6</x:v>
      </x:c>
      <x:c r="G24" s="30" t="n">
        <x:v>0</x:v>
      </x:c>
      <x:c r="H24" s="30" t="n">
        <x:v>0</x:v>
      </x:c>
      <x:c r="I24" s="30" t="n">
        <x:v>5</x:v>
      </x:c>
      <x:c r="J24" s="30" t="n">
        <x:v>0</x:v>
      </x:c>
      <x:c r="K24" s="30" t="n">
        <x:v>8</x:v>
      </x:c>
      <x:c r="L24" s="28" t="str">
        <x:v>Auto-scored from ERCOT GIS milestones and rough county-level demand proximity. Treat as draft until site and demand layers are verified.</x:v>
      </x:c>
    </x:row>
    <x:row r="25">
      <x:c r="A25" s="28" t="str">
        <x:v>ercot_bess_024</x:v>
      </x:c>
      <x:c r="B25" s="30" t="n">
        <x:f>IF(A25="","",SUM(C25:K25))</x:f>
        <x:v>55</x:v>
      </x:c>
      <x:c r="C25" s="30" t="n">
        <x:v>12</x:v>
      </x:c>
      <x:c r="D25" s="30" t="n">
        <x:v>15</x:v>
      </x:c>
      <x:c r="E25" s="30" t="n">
        <x:v>9</x:v>
      </x:c>
      <x:c r="F25" s="30" t="n">
        <x:v>6</x:v>
      </x:c>
      <x:c r="G25" s="30" t="n">
        <x:v>0</x:v>
      </x:c>
      <x:c r="H25" s="30" t="n">
        <x:v>0</x:v>
      </x:c>
      <x:c r="I25" s="30" t="n">
        <x:v>5</x:v>
      </x:c>
      <x:c r="J25" s="30" t="n">
        <x:v>0</x:v>
      </x:c>
      <x:c r="K25" s="30" t="n">
        <x:v>8</x:v>
      </x:c>
      <x:c r="L25" s="28" t="str">
        <x:v>Auto-scored from ERCOT GIS milestones and rough county-level demand proximity. Treat as draft until site and demand layers are verified.</x:v>
      </x:c>
    </x:row>
    <x:row r="26">
      <x:c r="A26" s="28" t="str">
        <x:v>ercot_bess_025</x:v>
      </x:c>
      <x:c r="B26" s="30" t="n">
        <x:f>IF(A26="","",SUM(C26:K26))</x:f>
        <x:v>64</x:v>
      </x:c>
      <x:c r="C26" s="30" t="n">
        <x:v>20</x:v>
      </x:c>
      <x:c r="D26" s="30" t="n">
        <x:v>15</x:v>
      </x:c>
      <x:c r="E26" s="30" t="n">
        <x:v>15</x:v>
      </x:c>
      <x:c r="F26" s="30" t="n">
        <x:v>6</x:v>
      </x:c>
      <x:c r="G26" s="30" t="n">
        <x:v>0</x:v>
      </x:c>
      <x:c r="H26" s="30" t="n">
        <x:v>0</x:v>
      </x:c>
      <x:c r="I26" s="30" t="n">
        <x:v>5</x:v>
      </x:c>
      <x:c r="J26" s="30" t="n">
        <x:v>0</x:v>
      </x:c>
      <x:c r="K26" s="30" t="n">
        <x:v>3</x:v>
      </x:c>
      <x:c r="L26" s="28" t="str">
        <x:v>Auto-scored from ERCOT GIS milestones and rough county-level demand proximity. Treat as draft until site and demand layers are verified.</x:v>
      </x:c>
    </x:row>
    <x:row r="27">
      <x:c r="A27" s="28"/>
      <x:c r="B27" s="30" t="str">
        <x:f>IF(A27="","",SUM(C27:K27))</x:f>
      </x:c>
      <x:c r="C27" s="30"/>
      <x:c r="D27" s="30"/>
      <x:c r="E27" s="30"/>
      <x:c r="F27" s="30"/>
      <x:c r="G27" s="30"/>
      <x:c r="H27" s="30"/>
      <x:c r="I27" s="30"/>
      <x:c r="J27" s="30"/>
      <x:c r="K27" s="30"/>
      <x:c r="L27" s="28"/>
    </x:row>
    <x:row r="28">
      <x:c r="A28" s="28"/>
      <x:c r="B28" s="30" t="str">
        <x:f>IF(A28="","",SUM(C28:K28))</x:f>
      </x:c>
      <x:c r="C28" s="30"/>
      <x:c r="D28" s="30"/>
      <x:c r="E28" s="30"/>
      <x:c r="F28" s="30"/>
      <x:c r="G28" s="30"/>
      <x:c r="H28" s="30"/>
      <x:c r="I28" s="30"/>
      <x:c r="J28" s="30"/>
      <x:c r="K28" s="30"/>
      <x:c r="L28" s="28"/>
    </x:row>
    <x:row r="29">
      <x:c r="A29" s="28"/>
      <x:c r="B29" s="30" t="str">
        <x:f>IF(A29="","",SUM(C29:K29))</x:f>
      </x:c>
      <x:c r="C29" s="30"/>
      <x:c r="D29" s="30"/>
      <x:c r="E29" s="30"/>
      <x:c r="F29" s="30"/>
      <x:c r="G29" s="30"/>
      <x:c r="H29" s="30"/>
      <x:c r="I29" s="30"/>
      <x:c r="J29" s="30"/>
      <x:c r="K29" s="30"/>
      <x:c r="L29" s="28"/>
    </x:row>
    <x:row r="30">
      <x:c r="A30" s="28"/>
      <x:c r="B30" s="30" t="str">
        <x:f>IF(A30="","",SUM(C30:K30))</x:f>
      </x:c>
      <x:c r="C30" s="30"/>
      <x:c r="D30" s="30"/>
      <x:c r="E30" s="30"/>
      <x:c r="F30" s="30"/>
      <x:c r="G30" s="30"/>
      <x:c r="H30" s="30"/>
      <x:c r="I30" s="30"/>
      <x:c r="J30" s="30"/>
      <x:c r="K30" s="30"/>
      <x:c r="L30" s="28"/>
    </x:row>
    <x:row r="31">
      <x:c r="A31" s="28"/>
      <x:c r="B31" s="30" t="str">
        <x:f>IF(A31="","",SUM(C31:K31))</x:f>
      </x:c>
      <x:c r="C31" s="30"/>
      <x:c r="D31" s="30"/>
      <x:c r="E31" s="30"/>
      <x:c r="F31" s="30"/>
      <x:c r="G31" s="30"/>
      <x:c r="H31" s="30"/>
      <x:c r="I31" s="30"/>
      <x:c r="J31" s="30"/>
      <x:c r="K31" s="30"/>
      <x:c r="L31" s="28"/>
    </x:row>
    <x:row r="32">
      <x:c r="A32" s="28"/>
      <x:c r="B32" s="30" t="str">
        <x:f>IF(A32="","",SUM(C32:K32))</x:f>
      </x:c>
      <x:c r="C32" s="30"/>
      <x:c r="D32" s="30"/>
      <x:c r="E32" s="30"/>
      <x:c r="F32" s="30"/>
      <x:c r="G32" s="30"/>
      <x:c r="H32" s="30"/>
      <x:c r="I32" s="30"/>
      <x:c r="J32" s="30"/>
      <x:c r="K32" s="30"/>
      <x:c r="L32" s="28"/>
    </x:row>
    <x:row r="33">
      <x:c r="A33" s="28"/>
      <x:c r="B33" s="30" t="str">
        <x:f>IF(A33="","",SUM(C33:K33))</x:f>
      </x:c>
      <x:c r="C33" s="30"/>
      <x:c r="D33" s="30"/>
      <x:c r="E33" s="30"/>
      <x:c r="F33" s="30"/>
      <x:c r="G33" s="30"/>
      <x:c r="H33" s="30"/>
      <x:c r="I33" s="30"/>
      <x:c r="J33" s="30"/>
      <x:c r="K33" s="30"/>
      <x:c r="L33" s="28"/>
    </x:row>
    <x:row r="34">
      <x:c r="A34" s="28"/>
      <x:c r="B34" s="30" t="str">
        <x:f>IF(A34="","",SUM(C34:K34))</x:f>
      </x:c>
      <x:c r="C34" s="30"/>
      <x:c r="D34" s="30"/>
      <x:c r="E34" s="30"/>
      <x:c r="F34" s="30"/>
      <x:c r="G34" s="30"/>
      <x:c r="H34" s="30"/>
      <x:c r="I34" s="30"/>
      <x:c r="J34" s="30"/>
      <x:c r="K34" s="30"/>
      <x:c r="L34" s="28"/>
    </x:row>
    <x:row r="35">
      <x:c r="A35" s="28"/>
      <x:c r="B35" s="30" t="str">
        <x:f>IF(A35="","",SUM(C35:K35))</x:f>
      </x:c>
      <x:c r="C35" s="30"/>
      <x:c r="D35" s="30"/>
      <x:c r="E35" s="30"/>
      <x:c r="F35" s="30"/>
      <x:c r="G35" s="30"/>
      <x:c r="H35" s="30"/>
      <x:c r="I35" s="30"/>
      <x:c r="J35" s="30"/>
      <x:c r="K35" s="30"/>
      <x:c r="L35" s="28"/>
    </x:row>
    <x:row r="36">
      <x:c r="A36" s="28"/>
      <x:c r="B36" s="30" t="str">
        <x:f>IF(A36="","",SUM(C36:K36))</x:f>
      </x:c>
      <x:c r="C36" s="30"/>
      <x:c r="D36" s="30"/>
      <x:c r="E36" s="30"/>
      <x:c r="F36" s="30"/>
      <x:c r="G36" s="30"/>
      <x:c r="H36" s="30"/>
      <x:c r="I36" s="30"/>
      <x:c r="J36" s="30"/>
      <x:c r="K36" s="30"/>
      <x:c r="L36" s="28"/>
    </x:row>
    <x:row r="37">
      <x:c r="A37" s="28"/>
      <x:c r="B37" s="30" t="str">
        <x:f>IF(A37="","",SUM(C37:K37))</x:f>
      </x:c>
      <x:c r="C37" s="30"/>
      <x:c r="D37" s="30"/>
      <x:c r="E37" s="30"/>
      <x:c r="F37" s="30"/>
      <x:c r="G37" s="30"/>
      <x:c r="H37" s="30"/>
      <x:c r="I37" s="30"/>
      <x:c r="J37" s="30"/>
      <x:c r="K37" s="30"/>
      <x:c r="L37" s="28"/>
    </x:row>
    <x:row r="38">
      <x:c r="A38" s="28"/>
      <x:c r="B38" s="30" t="str">
        <x:f>IF(A38="","",SUM(C38:K38))</x:f>
      </x:c>
      <x:c r="C38" s="30"/>
      <x:c r="D38" s="30"/>
      <x:c r="E38" s="30"/>
      <x:c r="F38" s="30"/>
      <x:c r="G38" s="30"/>
      <x:c r="H38" s="30"/>
      <x:c r="I38" s="30"/>
      <x:c r="J38" s="30"/>
      <x:c r="K38" s="30"/>
      <x:c r="L38" s="28"/>
    </x:row>
    <x:row r="39">
      <x:c r="A39" s="28"/>
      <x:c r="B39" s="30" t="str">
        <x:f>IF(A39="","",SUM(C39:K39))</x:f>
      </x:c>
      <x:c r="C39" s="30"/>
      <x:c r="D39" s="30"/>
      <x:c r="E39" s="30"/>
      <x:c r="F39" s="30"/>
      <x:c r="G39" s="30"/>
      <x:c r="H39" s="30"/>
      <x:c r="I39" s="30"/>
      <x:c r="J39" s="30"/>
      <x:c r="K39" s="30"/>
      <x:c r="L39" s="28"/>
    </x:row>
    <x:row r="40">
      <x:c r="A40" s="28"/>
      <x:c r="B40" s="30" t="str">
        <x:f>IF(A40="","",SUM(C40:K40))</x:f>
      </x:c>
      <x:c r="C40" s="30"/>
      <x:c r="D40" s="30"/>
      <x:c r="E40" s="30"/>
      <x:c r="F40" s="30"/>
      <x:c r="G40" s="30"/>
      <x:c r="H40" s="30"/>
      <x:c r="I40" s="30"/>
      <x:c r="J40" s="30"/>
      <x:c r="K40" s="30"/>
      <x:c r="L40" s="28"/>
    </x:row>
    <x:row r="41">
      <x:c r="A41" s="28"/>
      <x:c r="B41" s="30" t="str">
        <x:f>IF(A41="","",SUM(C41:K41))</x:f>
      </x:c>
      <x:c r="C41" s="30"/>
      <x:c r="D41" s="30"/>
      <x:c r="E41" s="30"/>
      <x:c r="F41" s="30"/>
      <x:c r="G41" s="30"/>
      <x:c r="H41" s="30"/>
      <x:c r="I41" s="30"/>
      <x:c r="J41" s="30"/>
      <x:c r="K41" s="30"/>
      <x:c r="L41" s="28"/>
    </x:row>
    <x:row r="42">
      <x:c r="A42" s="28"/>
      <x:c r="B42" s="30" t="str">
        <x:f>IF(A42="","",SUM(C42:K42))</x:f>
      </x:c>
      <x:c r="C42" s="30"/>
      <x:c r="D42" s="30"/>
      <x:c r="E42" s="30"/>
      <x:c r="F42" s="30"/>
      <x:c r="G42" s="30"/>
      <x:c r="H42" s="30"/>
      <x:c r="I42" s="30"/>
      <x:c r="J42" s="30"/>
      <x:c r="K42" s="30"/>
      <x:c r="L42" s="28"/>
    </x:row>
    <x:row r="43">
      <x:c r="A43" s="28"/>
      <x:c r="B43" s="30" t="str">
        <x:f>IF(A43="","",SUM(C43:K43))</x:f>
      </x:c>
      <x:c r="C43" s="30"/>
      <x:c r="D43" s="30"/>
      <x:c r="E43" s="30"/>
      <x:c r="F43" s="30"/>
      <x:c r="G43" s="30"/>
      <x:c r="H43" s="30"/>
      <x:c r="I43" s="30"/>
      <x:c r="J43" s="30"/>
      <x:c r="K43" s="30"/>
      <x:c r="L43" s="28"/>
    </x:row>
    <x:row r="44">
      <x:c r="A44" s="28"/>
      <x:c r="B44" s="30" t="str">
        <x:f>IF(A44="","",SUM(C44:K44))</x:f>
      </x:c>
      <x:c r="C44" s="30"/>
      <x:c r="D44" s="30"/>
      <x:c r="E44" s="30"/>
      <x:c r="F44" s="30"/>
      <x:c r="G44" s="30"/>
      <x:c r="H44" s="30"/>
      <x:c r="I44" s="30"/>
      <x:c r="J44" s="30"/>
      <x:c r="K44" s="30"/>
      <x:c r="L44" s="28"/>
    </x:row>
    <x:row r="45">
      <x:c r="A45" s="28"/>
      <x:c r="B45" s="30" t="str">
        <x:f>IF(A45="","",SUM(C45:K45))</x:f>
      </x:c>
      <x:c r="C45" s="30"/>
      <x:c r="D45" s="30"/>
      <x:c r="E45" s="30"/>
      <x:c r="F45" s="30"/>
      <x:c r="G45" s="30"/>
      <x:c r="H45" s="30"/>
      <x:c r="I45" s="30"/>
      <x:c r="J45" s="30"/>
      <x:c r="K45" s="30"/>
      <x:c r="L45" s="28"/>
    </x:row>
    <x:row r="46">
      <x:c r="A46" s="28"/>
      <x:c r="B46" s="30" t="str">
        <x:f>IF(A46="","",SUM(C46:K46))</x:f>
      </x:c>
      <x:c r="C46" s="30"/>
      <x:c r="D46" s="30"/>
      <x:c r="E46" s="30"/>
      <x:c r="F46" s="30"/>
      <x:c r="G46" s="30"/>
      <x:c r="H46" s="30"/>
      <x:c r="I46" s="30"/>
      <x:c r="J46" s="30"/>
      <x:c r="K46" s="30"/>
      <x:c r="L46" s="28"/>
    </x:row>
    <x:row r="47">
      <x:c r="A47" s="28"/>
      <x:c r="B47" s="30" t="str">
        <x:f>IF(A47="","",SUM(C47:K47))</x:f>
      </x:c>
      <x:c r="C47" s="30"/>
      <x:c r="D47" s="30"/>
      <x:c r="E47" s="30"/>
      <x:c r="F47" s="30"/>
      <x:c r="G47" s="30"/>
      <x:c r="H47" s="30"/>
      <x:c r="I47" s="30"/>
      <x:c r="J47" s="30"/>
      <x:c r="K47" s="30"/>
      <x:c r="L47" s="28"/>
    </x:row>
    <x:row r="48">
      <x:c r="A48" s="28"/>
      <x:c r="B48" s="30" t="str">
        <x:f>IF(A48="","",SUM(C48:K48))</x:f>
      </x:c>
      <x:c r="C48" s="30"/>
      <x:c r="D48" s="30"/>
      <x:c r="E48" s="30"/>
      <x:c r="F48" s="30"/>
      <x:c r="G48" s="30"/>
      <x:c r="H48" s="30"/>
      <x:c r="I48" s="30"/>
      <x:c r="J48" s="30"/>
      <x:c r="K48" s="30"/>
      <x:c r="L48" s="28"/>
    </x:row>
    <x:row r="49">
      <x:c r="A49" s="28"/>
      <x:c r="B49" s="30" t="str">
        <x:f>IF(A49="","",SUM(C49:K49))</x:f>
      </x:c>
      <x:c r="C49" s="30"/>
      <x:c r="D49" s="30"/>
      <x:c r="E49" s="30"/>
      <x:c r="F49" s="30"/>
      <x:c r="G49" s="30"/>
      <x:c r="H49" s="30"/>
      <x:c r="I49" s="30"/>
      <x:c r="J49" s="30"/>
      <x:c r="K49" s="30"/>
      <x:c r="L49" s="28"/>
    </x:row>
    <x:row r="50">
      <x:c r="A50" s="28"/>
      <x:c r="B50" s="30" t="str">
        <x:f>IF(A50="","",SUM(C50:K50))</x:f>
      </x:c>
      <x:c r="C50" s="30"/>
      <x:c r="D50" s="30"/>
      <x:c r="E50" s="30"/>
      <x:c r="F50" s="30"/>
      <x:c r="G50" s="30"/>
      <x:c r="H50" s="30"/>
      <x:c r="I50" s="30"/>
      <x:c r="J50" s="30"/>
      <x:c r="K50" s="30"/>
      <x:c r="L50" s="28"/>
    </x:row>
    <x:row r="51">
      <x:c r="A51" s="28"/>
      <x:c r="B51" s="30" t="str">
        <x:f>IF(A51="","",SUM(C51:K51))</x:f>
      </x:c>
      <x:c r="C51" s="30"/>
      <x:c r="D51" s="30"/>
      <x:c r="E51" s="30"/>
      <x:c r="F51" s="30"/>
      <x:c r="G51" s="30"/>
      <x:c r="H51" s="30"/>
      <x:c r="I51" s="30"/>
      <x:c r="J51" s="30"/>
      <x:c r="K51" s="30"/>
      <x:c r="L51" s="28"/>
    </x:row>
    <x:row r="52">
      <x:c r="A52" s="28"/>
      <x:c r="B52" s="30" t="str">
        <x:f>IF(A52="","",SUM(C52:K52))</x:f>
      </x:c>
      <x:c r="C52" s="30"/>
      <x:c r="D52" s="30"/>
      <x:c r="E52" s="30"/>
      <x:c r="F52" s="30"/>
      <x:c r="G52" s="30"/>
      <x:c r="H52" s="30"/>
      <x:c r="I52" s="30"/>
      <x:c r="J52" s="30"/>
      <x:c r="K52" s="30"/>
      <x:c r="L52" s="28"/>
    </x:row>
    <x:row r="53">
      <x:c r="A53" s="28"/>
      <x:c r="B53" s="30" t="str">
        <x:f>IF(A53="","",SUM(C53:K53))</x:f>
      </x:c>
      <x:c r="C53" s="30"/>
      <x:c r="D53" s="30"/>
      <x:c r="E53" s="30"/>
      <x:c r="F53" s="30"/>
      <x:c r="G53" s="30"/>
      <x:c r="H53" s="30"/>
      <x:c r="I53" s="30"/>
      <x:c r="J53" s="30"/>
      <x:c r="K53" s="30"/>
      <x:c r="L53" s="28"/>
    </x:row>
    <x:row r="54">
      <x:c r="A54" s="28"/>
      <x:c r="B54" s="30" t="str">
        <x:f>IF(A54="","",SUM(C54:K54))</x:f>
      </x:c>
      <x:c r="C54" s="30"/>
      <x:c r="D54" s="30"/>
      <x:c r="E54" s="30"/>
      <x:c r="F54" s="30"/>
      <x:c r="G54" s="30"/>
      <x:c r="H54" s="30"/>
      <x:c r="I54" s="30"/>
      <x:c r="J54" s="30"/>
      <x:c r="K54" s="30"/>
      <x:c r="L54" s="28"/>
    </x:row>
    <x:row r="55">
      <x:c r="A55" s="28"/>
      <x:c r="B55" s="30" t="str">
        <x:f>IF(A55="","",SUM(C55:K55))</x:f>
      </x:c>
      <x:c r="C55" s="30"/>
      <x:c r="D55" s="30"/>
      <x:c r="E55" s="30"/>
      <x:c r="F55" s="30"/>
      <x:c r="G55" s="30"/>
      <x:c r="H55" s="30"/>
      <x:c r="I55" s="30"/>
      <x:c r="J55" s="30"/>
      <x:c r="K55" s="30"/>
      <x:c r="L55" s="28"/>
    </x:row>
    <x:row r="56">
      <x:c r="A56" s="28"/>
      <x:c r="B56" s="30" t="str">
        <x:f>IF(A56="","",SUM(C56:K56))</x:f>
      </x:c>
      <x:c r="C56" s="30"/>
      <x:c r="D56" s="30"/>
      <x:c r="E56" s="30"/>
      <x:c r="F56" s="30"/>
      <x:c r="G56" s="30"/>
      <x:c r="H56" s="30"/>
      <x:c r="I56" s="30"/>
      <x:c r="J56" s="30"/>
      <x:c r="K56" s="30"/>
      <x:c r="L56" s="28"/>
    </x:row>
    <x:row r="57">
      <x:c r="A57" s="28"/>
      <x:c r="B57" s="30" t="str">
        <x:f>IF(A57="","",SUM(C57:K57))</x:f>
      </x:c>
      <x:c r="C57" s="30"/>
      <x:c r="D57" s="30"/>
      <x:c r="E57" s="30"/>
      <x:c r="F57" s="30"/>
      <x:c r="G57" s="30"/>
      <x:c r="H57" s="30"/>
      <x:c r="I57" s="30"/>
      <x:c r="J57" s="30"/>
      <x:c r="K57" s="30"/>
      <x:c r="L57" s="28"/>
    </x:row>
    <x:row r="58">
      <x:c r="A58" s="28"/>
      <x:c r="B58" s="30" t="str">
        <x:f>IF(A58="","",SUM(C58:K58))</x:f>
      </x:c>
      <x:c r="C58" s="30"/>
      <x:c r="D58" s="30"/>
      <x:c r="E58" s="30"/>
      <x:c r="F58" s="30"/>
      <x:c r="G58" s="30"/>
      <x:c r="H58" s="30"/>
      <x:c r="I58" s="30"/>
      <x:c r="J58" s="30"/>
      <x:c r="K58" s="30"/>
      <x:c r="L58" s="28"/>
    </x:row>
    <x:row r="59">
      <x:c r="A59" s="28"/>
      <x:c r="B59" s="30" t="str">
        <x:f>IF(A59="","",SUM(C59:K59))</x:f>
      </x:c>
      <x:c r="C59" s="30"/>
      <x:c r="D59" s="30"/>
      <x:c r="E59" s="30"/>
      <x:c r="F59" s="30"/>
      <x:c r="G59" s="30"/>
      <x:c r="H59" s="30"/>
      <x:c r="I59" s="30"/>
      <x:c r="J59" s="30"/>
      <x:c r="K59" s="30"/>
      <x:c r="L59" s="28"/>
    </x:row>
    <x:row r="60">
      <x:c r="A60" s="28"/>
      <x:c r="B60" s="30" t="str">
        <x:f>IF(A60="","",SUM(C60:K60))</x:f>
      </x:c>
      <x:c r="C60" s="30"/>
      <x:c r="D60" s="30"/>
      <x:c r="E60" s="30"/>
      <x:c r="F60" s="30"/>
      <x:c r="G60" s="30"/>
      <x:c r="H60" s="30"/>
      <x:c r="I60" s="30"/>
      <x:c r="J60" s="30"/>
      <x:c r="K60" s="30"/>
      <x:c r="L60" s="28"/>
    </x:row>
    <x:row r="61">
      <x:c r="A61" s="28"/>
      <x:c r="B61" s="30" t="str">
        <x:f>IF(A61="","",SUM(C61:K61))</x:f>
      </x:c>
      <x:c r="C61" s="30"/>
      <x:c r="D61" s="30"/>
      <x:c r="E61" s="30"/>
      <x:c r="F61" s="30"/>
      <x:c r="G61" s="30"/>
      <x:c r="H61" s="30"/>
      <x:c r="I61" s="30"/>
      <x:c r="J61" s="30"/>
      <x:c r="K61" s="30"/>
      <x:c r="L61" s="28"/>
    </x:row>
    <x:row r="62">
      <x:c r="A62" s="28"/>
      <x:c r="B62" s="30" t="str">
        <x:f>IF(A62="","",SUM(C62:K62))</x:f>
      </x:c>
      <x:c r="C62" s="30"/>
      <x:c r="D62" s="30"/>
      <x:c r="E62" s="30"/>
      <x:c r="F62" s="30"/>
      <x:c r="G62" s="30"/>
      <x:c r="H62" s="30"/>
      <x:c r="I62" s="30"/>
      <x:c r="J62" s="30"/>
      <x:c r="K62" s="30"/>
      <x:c r="L62" s="28"/>
    </x:row>
    <x:row r="63">
      <x:c r="A63" s="28"/>
      <x:c r="B63" s="30" t="str">
        <x:f>IF(A63="","",SUM(C63:K63))</x:f>
      </x:c>
      <x:c r="C63" s="30"/>
      <x:c r="D63" s="30"/>
      <x:c r="E63" s="30"/>
      <x:c r="F63" s="30"/>
      <x:c r="G63" s="30"/>
      <x:c r="H63" s="30"/>
      <x:c r="I63" s="30"/>
      <x:c r="J63" s="30"/>
      <x:c r="K63" s="30"/>
      <x:c r="L63" s="28"/>
    </x:row>
    <x:row r="64">
      <x:c r="A64" s="28"/>
      <x:c r="B64" s="30" t="str">
        <x:f>IF(A64="","",SUM(C64:K64))</x:f>
      </x:c>
      <x:c r="C64" s="30"/>
      <x:c r="D64" s="30"/>
      <x:c r="E64" s="30"/>
      <x:c r="F64" s="30"/>
      <x:c r="G64" s="30"/>
      <x:c r="H64" s="30"/>
      <x:c r="I64" s="30"/>
      <x:c r="J64" s="30"/>
      <x:c r="K64" s="30"/>
      <x:c r="L64" s="28"/>
    </x:row>
    <x:row r="65">
      <x:c r="A65" s="28"/>
      <x:c r="B65" s="30" t="str">
        <x:f>IF(A65="","",SUM(C65:K65))</x:f>
      </x:c>
      <x:c r="C65" s="30"/>
      <x:c r="D65" s="30"/>
      <x:c r="E65" s="30"/>
      <x:c r="F65" s="30"/>
      <x:c r="G65" s="30"/>
      <x:c r="H65" s="30"/>
      <x:c r="I65" s="30"/>
      <x:c r="J65" s="30"/>
      <x:c r="K65" s="30"/>
      <x:c r="L65" s="28"/>
    </x:row>
    <x:row r="66">
      <x:c r="A66" s="28"/>
      <x:c r="B66" s="30" t="str">
        <x:f>IF(A66="","",SUM(C66:K66))</x:f>
      </x:c>
      <x:c r="C66" s="30"/>
      <x:c r="D66" s="30"/>
      <x:c r="E66" s="30"/>
      <x:c r="F66" s="30"/>
      <x:c r="G66" s="30"/>
      <x:c r="H66" s="30"/>
      <x:c r="I66" s="30"/>
      <x:c r="J66" s="30"/>
      <x:c r="K66" s="30"/>
      <x:c r="L66" s="28"/>
    </x:row>
    <x:row r="67">
      <x:c r="A67" s="28"/>
      <x:c r="B67" s="30" t="str">
        <x:f>IF(A67="","",SUM(C67:K67))</x:f>
      </x:c>
      <x:c r="C67" s="30"/>
      <x:c r="D67" s="30"/>
      <x:c r="E67" s="30"/>
      <x:c r="F67" s="30"/>
      <x:c r="G67" s="30"/>
      <x:c r="H67" s="30"/>
      <x:c r="I67" s="30"/>
      <x:c r="J67" s="30"/>
      <x:c r="K67" s="30"/>
      <x:c r="L67" s="28"/>
    </x:row>
    <x:row r="68">
      <x:c r="A68" s="28"/>
      <x:c r="B68" s="30" t="str">
        <x:f>IF(A68="","",SUM(C68:K68))</x:f>
      </x:c>
      <x:c r="C68" s="30"/>
      <x:c r="D68" s="30"/>
      <x:c r="E68" s="30"/>
      <x:c r="F68" s="30"/>
      <x:c r="G68" s="30"/>
      <x:c r="H68" s="30"/>
      <x:c r="I68" s="30"/>
      <x:c r="J68" s="30"/>
      <x:c r="K68" s="30"/>
      <x:c r="L68" s="28"/>
    </x:row>
    <x:row r="69">
      <x:c r="A69" s="28"/>
      <x:c r="B69" s="30" t="str">
        <x:f>IF(A69="","",SUM(C69:K69))</x:f>
      </x:c>
      <x:c r="C69" s="30"/>
      <x:c r="D69" s="30"/>
      <x:c r="E69" s="30"/>
      <x:c r="F69" s="30"/>
      <x:c r="G69" s="30"/>
      <x:c r="H69" s="30"/>
      <x:c r="I69" s="30"/>
      <x:c r="J69" s="30"/>
      <x:c r="K69" s="30"/>
      <x:c r="L69" s="28"/>
    </x:row>
    <x:row r="70">
      <x:c r="A70" s="28"/>
      <x:c r="B70" s="30" t="str">
        <x:f>IF(A70="","",SUM(C70:K70))</x:f>
      </x:c>
      <x:c r="C70" s="30"/>
      <x:c r="D70" s="30"/>
      <x:c r="E70" s="30"/>
      <x:c r="F70" s="30"/>
      <x:c r="G70" s="30"/>
      <x:c r="H70" s="30"/>
      <x:c r="I70" s="30"/>
      <x:c r="J70" s="30"/>
      <x:c r="K70" s="30"/>
      <x:c r="L70" s="28"/>
    </x:row>
    <x:row r="71">
      <x:c r="A71" s="28"/>
      <x:c r="B71" s="30" t="str">
        <x:f>IF(A71="","",SUM(C71:K71))</x:f>
      </x:c>
      <x:c r="C71" s="30"/>
      <x:c r="D71" s="30"/>
      <x:c r="E71" s="30"/>
      <x:c r="F71" s="30"/>
      <x:c r="G71" s="30"/>
      <x:c r="H71" s="30"/>
      <x:c r="I71" s="30"/>
      <x:c r="J71" s="30"/>
      <x:c r="K71" s="30"/>
      <x:c r="L71" s="28"/>
    </x:row>
    <x:row r="72">
      <x:c r="A72" s="28"/>
      <x:c r="B72" s="30" t="str">
        <x:f>IF(A72="","",SUM(C72:K72))</x:f>
      </x:c>
      <x:c r="C72" s="30"/>
      <x:c r="D72" s="30"/>
      <x:c r="E72" s="30"/>
      <x:c r="F72" s="30"/>
      <x:c r="G72" s="30"/>
      <x:c r="H72" s="30"/>
      <x:c r="I72" s="30"/>
      <x:c r="J72" s="30"/>
      <x:c r="K72" s="30"/>
      <x:c r="L72" s="28"/>
    </x:row>
    <x:row r="73">
      <x:c r="A73" s="28"/>
      <x:c r="B73" s="30" t="str">
        <x:f>IF(A73="","",SUM(C73:K73))</x:f>
      </x:c>
      <x:c r="C73" s="30"/>
      <x:c r="D73" s="30"/>
      <x:c r="E73" s="30"/>
      <x:c r="F73" s="30"/>
      <x:c r="G73" s="30"/>
      <x:c r="H73" s="30"/>
      <x:c r="I73" s="30"/>
      <x:c r="J73" s="30"/>
      <x:c r="K73" s="30"/>
      <x:c r="L73" s="28"/>
    </x:row>
    <x:row r="74">
      <x:c r="A74" s="28"/>
      <x:c r="B74" s="30" t="str">
        <x:f>IF(A74="","",SUM(C74:K74))</x:f>
      </x:c>
      <x:c r="C74" s="30"/>
      <x:c r="D74" s="30"/>
      <x:c r="E74" s="30"/>
      <x:c r="F74" s="30"/>
      <x:c r="G74" s="30"/>
      <x:c r="H74" s="30"/>
      <x:c r="I74" s="30"/>
      <x:c r="J74" s="30"/>
      <x:c r="K74" s="30"/>
      <x:c r="L74" s="28"/>
    </x:row>
    <x:row r="75">
      <x:c r="A75" s="28"/>
      <x:c r="B75" s="30" t="str">
        <x:f>IF(A75="","",SUM(C75:K75))</x:f>
      </x:c>
      <x:c r="C75" s="30"/>
      <x:c r="D75" s="30"/>
      <x:c r="E75" s="30"/>
      <x:c r="F75" s="30"/>
      <x:c r="G75" s="30"/>
      <x:c r="H75" s="30"/>
      <x:c r="I75" s="30"/>
      <x:c r="J75" s="30"/>
      <x:c r="K75" s="30"/>
      <x:c r="L75" s="28"/>
    </x:row>
    <x:row r="76">
      <x:c r="A76" s="28"/>
      <x:c r="B76" s="30" t="str">
        <x:f>IF(A76="","",SUM(C76:K76))</x:f>
      </x:c>
      <x:c r="C76" s="30"/>
      <x:c r="D76" s="30"/>
      <x:c r="E76" s="30"/>
      <x:c r="F76" s="30"/>
      <x:c r="G76" s="30"/>
      <x:c r="H76" s="30"/>
      <x:c r="I76" s="30"/>
      <x:c r="J76" s="30"/>
      <x:c r="K76" s="30"/>
      <x:c r="L76" s="28"/>
    </x:row>
    <x:row r="77">
      <x:c r="A77" s="28"/>
      <x:c r="B77" s="30" t="str">
        <x:f>IF(A77="","",SUM(C77:K77))</x:f>
      </x:c>
      <x:c r="C77" s="30"/>
      <x:c r="D77" s="30"/>
      <x:c r="E77" s="30"/>
      <x:c r="F77" s="30"/>
      <x:c r="G77" s="30"/>
      <x:c r="H77" s="30"/>
      <x:c r="I77" s="30"/>
      <x:c r="J77" s="30"/>
      <x:c r="K77" s="30"/>
      <x:c r="L77" s="28"/>
    </x:row>
    <x:row r="78">
      <x:c r="A78" s="28"/>
      <x:c r="B78" s="30" t="str">
        <x:f>IF(A78="","",SUM(C78:K78))</x:f>
      </x:c>
      <x:c r="C78" s="30"/>
      <x:c r="D78" s="30"/>
      <x:c r="E78" s="30"/>
      <x:c r="F78" s="30"/>
      <x:c r="G78" s="30"/>
      <x:c r="H78" s="30"/>
      <x:c r="I78" s="30"/>
      <x:c r="J78" s="30"/>
      <x:c r="K78" s="30"/>
      <x:c r="L78" s="28"/>
    </x:row>
    <x:row r="79">
      <x:c r="A79" s="28"/>
      <x:c r="B79" s="30" t="str">
        <x:f>IF(A79="","",SUM(C79:K79))</x:f>
      </x:c>
      <x:c r="C79" s="30"/>
      <x:c r="D79" s="30"/>
      <x:c r="E79" s="30"/>
      <x:c r="F79" s="30"/>
      <x:c r="G79" s="30"/>
      <x:c r="H79" s="30"/>
      <x:c r="I79" s="30"/>
      <x:c r="J79" s="30"/>
      <x:c r="K79" s="30"/>
      <x:c r="L79" s="28"/>
    </x:row>
    <x:row r="80">
      <x:c r="A80" s="28"/>
      <x:c r="B80" s="30" t="str">
        <x:f>IF(A80="","",SUM(C80:K80))</x:f>
      </x:c>
      <x:c r="C80" s="30"/>
      <x:c r="D80" s="30"/>
      <x:c r="E80" s="30"/>
      <x:c r="F80" s="30"/>
      <x:c r="G80" s="30"/>
      <x:c r="H80" s="30"/>
      <x:c r="I80" s="30"/>
      <x:c r="J80" s="30"/>
      <x:c r="K80" s="30"/>
      <x:c r="L80" s="28"/>
    </x:row>
    <x:row r="81">
      <x:c r="A81" s="28"/>
      <x:c r="B81" s="30" t="str">
        <x:f>IF(A81="","",SUM(C81:K81))</x:f>
      </x:c>
      <x:c r="C81" s="30"/>
      <x:c r="D81" s="30"/>
      <x:c r="E81" s="30"/>
      <x:c r="F81" s="30"/>
      <x:c r="G81" s="30"/>
      <x:c r="H81" s="30"/>
      <x:c r="I81" s="30"/>
      <x:c r="J81" s="30"/>
      <x:c r="K81" s="30"/>
      <x:c r="L81" s="28"/>
    </x:row>
    <x:row r="82">
      <x:c r="A82" s="28"/>
      <x:c r="B82" s="30" t="str">
        <x:f>IF(A82="","",SUM(C82:K82))</x:f>
      </x:c>
      <x:c r="C82" s="30"/>
      <x:c r="D82" s="30"/>
      <x:c r="E82" s="30"/>
      <x:c r="F82" s="30"/>
      <x:c r="G82" s="30"/>
      <x:c r="H82" s="30"/>
      <x:c r="I82" s="30"/>
      <x:c r="J82" s="30"/>
      <x:c r="K82" s="30"/>
      <x:c r="L82" s="28"/>
    </x:row>
    <x:row r="83">
      <x:c r="A83" s="28"/>
      <x:c r="B83" s="30" t="str">
        <x:f>IF(A83="","",SUM(C83:K83))</x:f>
      </x:c>
      <x:c r="C83" s="30"/>
      <x:c r="D83" s="30"/>
      <x:c r="E83" s="30"/>
      <x:c r="F83" s="30"/>
      <x:c r="G83" s="30"/>
      <x:c r="H83" s="30"/>
      <x:c r="I83" s="30"/>
      <x:c r="J83" s="30"/>
      <x:c r="K83" s="30"/>
      <x:c r="L83" s="28"/>
    </x:row>
    <x:row r="84">
      <x:c r="A84" s="28"/>
      <x:c r="B84" s="30" t="str">
        <x:f>IF(A84="","",SUM(C84:K84))</x:f>
      </x:c>
      <x:c r="C84" s="30"/>
      <x:c r="D84" s="30"/>
      <x:c r="E84" s="30"/>
      <x:c r="F84" s="30"/>
      <x:c r="G84" s="30"/>
      <x:c r="H84" s="30"/>
      <x:c r="I84" s="30"/>
      <x:c r="J84" s="30"/>
      <x:c r="K84" s="30"/>
      <x:c r="L84" s="28"/>
    </x:row>
    <x:row r="85">
      <x:c r="A85" s="28"/>
      <x:c r="B85" s="30" t="str">
        <x:f>IF(A85="","",SUM(C85:K85))</x:f>
      </x:c>
      <x:c r="C85" s="30"/>
      <x:c r="D85" s="30"/>
      <x:c r="E85" s="30"/>
      <x:c r="F85" s="30"/>
      <x:c r="G85" s="30"/>
      <x:c r="H85" s="30"/>
      <x:c r="I85" s="30"/>
      <x:c r="J85" s="30"/>
      <x:c r="K85" s="30"/>
      <x:c r="L85" s="28"/>
    </x:row>
    <x:row r="86">
      <x:c r="A86" s="28"/>
      <x:c r="B86" s="30" t="str">
        <x:f>IF(A86="","",SUM(C86:K86))</x:f>
      </x:c>
      <x:c r="C86" s="30"/>
      <x:c r="D86" s="30"/>
      <x:c r="E86" s="30"/>
      <x:c r="F86" s="30"/>
      <x:c r="G86" s="30"/>
      <x:c r="H86" s="30"/>
      <x:c r="I86" s="30"/>
      <x:c r="J86" s="30"/>
      <x:c r="K86" s="30"/>
      <x:c r="L86" s="28"/>
    </x:row>
    <x:row r="87">
      <x:c r="A87" s="28"/>
      <x:c r="B87" s="30" t="str">
        <x:f>IF(A87="","",SUM(C87:K87))</x:f>
      </x:c>
      <x:c r="C87" s="30"/>
      <x:c r="D87" s="30"/>
      <x:c r="E87" s="30"/>
      <x:c r="F87" s="30"/>
      <x:c r="G87" s="30"/>
      <x:c r="H87" s="30"/>
      <x:c r="I87" s="30"/>
      <x:c r="J87" s="30"/>
      <x:c r="K87" s="30"/>
      <x:c r="L87" s="28"/>
    </x:row>
    <x:row r="88">
      <x:c r="A88" s="28"/>
      <x:c r="B88" s="30" t="str">
        <x:f>IF(A88="","",SUM(C88:K88))</x:f>
      </x:c>
      <x:c r="C88" s="30"/>
      <x:c r="D88" s="30"/>
      <x:c r="E88" s="30"/>
      <x:c r="F88" s="30"/>
      <x:c r="G88" s="30"/>
      <x:c r="H88" s="30"/>
      <x:c r="I88" s="30"/>
      <x:c r="J88" s="30"/>
      <x:c r="K88" s="30"/>
      <x:c r="L88" s="28"/>
    </x:row>
    <x:row r="89">
      <x:c r="A89" s="28"/>
      <x:c r="B89" s="30" t="str">
        <x:f>IF(A89="","",SUM(C89:K89))</x:f>
      </x:c>
      <x:c r="C89" s="30"/>
      <x:c r="D89" s="30"/>
      <x:c r="E89" s="30"/>
      <x:c r="F89" s="30"/>
      <x:c r="G89" s="30"/>
      <x:c r="H89" s="30"/>
      <x:c r="I89" s="30"/>
      <x:c r="J89" s="30"/>
      <x:c r="K89" s="30"/>
      <x:c r="L89" s="28"/>
    </x:row>
    <x:row r="90">
      <x:c r="A90" s="28"/>
      <x:c r="B90" s="30" t="str">
        <x:f>IF(A90="","",SUM(C90:K90))</x:f>
      </x:c>
      <x:c r="C90" s="30"/>
      <x:c r="D90" s="30"/>
      <x:c r="E90" s="30"/>
      <x:c r="F90" s="30"/>
      <x:c r="G90" s="30"/>
      <x:c r="H90" s="30"/>
      <x:c r="I90" s="30"/>
      <x:c r="J90" s="30"/>
      <x:c r="K90" s="30"/>
      <x:c r="L90" s="28"/>
    </x:row>
    <x:row r="91">
      <x:c r="A91" s="28"/>
      <x:c r="B91" s="30" t="str">
        <x:f>IF(A91="","",SUM(C91:K91))</x:f>
      </x:c>
      <x:c r="C91" s="30"/>
      <x:c r="D91" s="30"/>
      <x:c r="E91" s="30"/>
      <x:c r="F91" s="30"/>
      <x:c r="G91" s="30"/>
      <x:c r="H91" s="30"/>
      <x:c r="I91" s="30"/>
      <x:c r="J91" s="30"/>
      <x:c r="K91" s="30"/>
      <x:c r="L91" s="28"/>
    </x:row>
    <x:row r="92">
      <x:c r="A92" s="28"/>
      <x:c r="B92" s="30" t="str">
        <x:f>IF(A92="","",SUM(C92:K92))</x:f>
      </x:c>
      <x:c r="C92" s="30"/>
      <x:c r="D92" s="30"/>
      <x:c r="E92" s="30"/>
      <x:c r="F92" s="30"/>
      <x:c r="G92" s="30"/>
      <x:c r="H92" s="30"/>
      <x:c r="I92" s="30"/>
      <x:c r="J92" s="30"/>
      <x:c r="K92" s="30"/>
      <x:c r="L92" s="28"/>
    </x:row>
    <x:row r="93">
      <x:c r="A93" s="28"/>
      <x:c r="B93" s="30" t="str">
        <x:f>IF(A93="","",SUM(C93:K93))</x:f>
      </x:c>
      <x:c r="C93" s="30"/>
      <x:c r="D93" s="30"/>
      <x:c r="E93" s="30"/>
      <x:c r="F93" s="30"/>
      <x:c r="G93" s="30"/>
      <x:c r="H93" s="30"/>
      <x:c r="I93" s="30"/>
      <x:c r="J93" s="30"/>
      <x:c r="K93" s="30"/>
      <x:c r="L93" s="28"/>
    </x:row>
    <x:row r="94">
      <x:c r="A94" s="28"/>
      <x:c r="B94" s="30" t="str">
        <x:f>IF(A94="","",SUM(C94:K94))</x:f>
      </x:c>
      <x:c r="C94" s="30"/>
      <x:c r="D94" s="30"/>
      <x:c r="E94" s="30"/>
      <x:c r="F94" s="30"/>
      <x:c r="G94" s="30"/>
      <x:c r="H94" s="30"/>
      <x:c r="I94" s="30"/>
      <x:c r="J94" s="30"/>
      <x:c r="K94" s="30"/>
      <x:c r="L94" s="28"/>
    </x:row>
    <x:row r="95">
      <x:c r="A95" s="28"/>
      <x:c r="B95" s="30" t="str">
        <x:f>IF(A95="","",SUM(C95:K95))</x:f>
      </x:c>
      <x:c r="C95" s="30"/>
      <x:c r="D95" s="30"/>
      <x:c r="E95" s="30"/>
      <x:c r="F95" s="30"/>
      <x:c r="G95" s="30"/>
      <x:c r="H95" s="30"/>
      <x:c r="I95" s="30"/>
      <x:c r="J95" s="30"/>
      <x:c r="K95" s="30"/>
      <x:c r="L95" s="28"/>
    </x:row>
    <x:row r="96">
      <x:c r="A96" s="28"/>
      <x:c r="B96" s="30" t="str">
        <x:f>IF(A96="","",SUM(C96:K96))</x:f>
      </x:c>
      <x:c r="C96" s="30"/>
      <x:c r="D96" s="30"/>
      <x:c r="E96" s="30"/>
      <x:c r="F96" s="30"/>
      <x:c r="G96" s="30"/>
      <x:c r="H96" s="30"/>
      <x:c r="I96" s="30"/>
      <x:c r="J96" s="30"/>
      <x:c r="K96" s="30"/>
      <x:c r="L96" s="28"/>
    </x:row>
    <x:row r="97">
      <x:c r="A97" s="28"/>
      <x:c r="B97" s="30" t="str">
        <x:f>IF(A97="","",SUM(C97:K97))</x:f>
      </x:c>
      <x:c r="C97" s="30"/>
      <x:c r="D97" s="30"/>
      <x:c r="E97" s="30"/>
      <x:c r="F97" s="30"/>
      <x:c r="G97" s="30"/>
      <x:c r="H97" s="30"/>
      <x:c r="I97" s="30"/>
      <x:c r="J97" s="30"/>
      <x:c r="K97" s="30"/>
      <x:c r="L97" s="28"/>
    </x:row>
    <x:row r="98">
      <x:c r="A98" s="28"/>
      <x:c r="B98" s="30" t="str">
        <x:f>IF(A98="","",SUM(C98:K98))</x:f>
      </x:c>
      <x:c r="C98" s="30"/>
      <x:c r="D98" s="30"/>
      <x:c r="E98" s="30"/>
      <x:c r="F98" s="30"/>
      <x:c r="G98" s="30"/>
      <x:c r="H98" s="30"/>
      <x:c r="I98" s="30"/>
      <x:c r="J98" s="30"/>
      <x:c r="K98" s="30"/>
      <x:c r="L98" s="28"/>
    </x:row>
    <x:row r="99">
      <x:c r="A99" s="28"/>
      <x:c r="B99" s="30" t="str">
        <x:f>IF(A99="","",SUM(C99:K99))</x:f>
      </x:c>
      <x:c r="C99" s="30"/>
      <x:c r="D99" s="30"/>
      <x:c r="E99" s="30"/>
      <x:c r="F99" s="30"/>
      <x:c r="G99" s="30"/>
      <x:c r="H99" s="30"/>
      <x:c r="I99" s="30"/>
      <x:c r="J99" s="30"/>
      <x:c r="K99" s="30"/>
      <x:c r="L99" s="28"/>
    </x:row>
    <x:row r="100">
      <x:c r="A100" s="28"/>
      <x:c r="B100" s="30" t="str">
        <x:f>IF(A100="","",SUM(C100:K100))</x:f>
      </x:c>
      <x:c r="C100" s="30"/>
      <x:c r="D100" s="30"/>
      <x:c r="E100" s="30"/>
      <x:c r="F100" s="30"/>
      <x:c r="G100" s="30"/>
      <x:c r="H100" s="30"/>
      <x:c r="I100" s="30"/>
      <x:c r="J100" s="30"/>
      <x:c r="K100" s="30"/>
      <x:c r="L100" s="28"/>
    </x:row>
    <x:row r="101">
      <x:c r="A101" s="28"/>
      <x:c r="B101" s="30" t="str">
        <x:f>IF(A101="","",SUM(C101:K101))</x:f>
      </x:c>
      <x:c r="C101" s="30"/>
      <x:c r="D101" s="30"/>
      <x:c r="E101" s="30"/>
      <x:c r="F101" s="30"/>
      <x:c r="G101" s="30"/>
      <x:c r="H101" s="30"/>
      <x:c r="I101" s="30"/>
      <x:c r="J101" s="30"/>
      <x:c r="K101" s="30"/>
      <x:c r="L101" s="28"/>
    </x:row>
  </x:sheetData>
  <x:conditionalFormatting sqref="B2:B101">
    <x:cfRule type="cellIs" dxfId="0" priority="1" operator="greaterThanOrEqual">
      <x:formula>75</x:formula>
    </x:cfRule>
  </x:conditionalFormatting>
  <x:pageMargins left="0.7" right="0.7" top="0.75" bottom="0.75" header="0.3" footer="0.3"/>
  <x:tableParts count="1">
    <x:tablePart xmlns:r="http://schemas.openxmlformats.org/officeDocument/2006/relationships" r:id="Rb317f37033ab49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43000030517578" hidden="0" customWidth="1"/>
    <x:col min="2" max="2" width="17.860000610351562" hidden="0" customWidth="1"/>
    <x:col min="3" max="3" width="17.860000610351562" hidden="0" customWidth="1"/>
    <x:col min="4" max="4" width="35" hidden="0" customWidth="1"/>
    <x:col min="5" max="5" width="25" hidden="0" customWidth="1"/>
    <x:col min="6" max="6" width="16.43000030517578" hidden="0" customWidth="1"/>
    <x:col min="7" max="7" width="16.43000030517578" hidden="0" customWidth="1"/>
    <x:col min="8" max="8" width="15" hidden="0" customWidth="1"/>
    <x:col min="9" max="9" width="16.43000030517578" hidden="0" customWidth="1"/>
    <x:col min="10" max="10" width="50.709999084472656" hidden="0" customWidth="1"/>
  </x:cols>
  <x:sheetData>
    <x:row r="1" ht="25.5" customHeight="1">
      <x:c r="A1" s="27" t="str">
        <x:v>demand_id</x:v>
      </x:c>
      <x:c r="B1" s="27" t="str">
        <x:v>asset_id</x:v>
      </x:c>
      <x:c r="C1" s="27" t="str">
        <x:v>demand_type</x:v>
      </x:c>
      <x:c r="D1" s="27" t="str">
        <x:v>name</x:v>
      </x:c>
      <x:c r="E1" s="27" t="str">
        <x:v>operator</x:v>
      </x:c>
      <x:c r="F1" s="27" t="str">
        <x:v>distance_miles</x:v>
      </x:c>
      <x:c r="G1" s="27" t="str">
        <x:v>status</x:v>
      </x:c>
      <x:c r="H1" s="27" t="str">
        <x:v>source_id</x:v>
      </x:c>
      <x:c r="I1" s="27" t="str">
        <x:v>confidence_level</x:v>
      </x:c>
      <x:c r="J1" s="27" t="str">
        <x:v>notes</x:v>
      </x:c>
    </x:row>
    <x:row r="2">
      <x:c r="A2" s="28" t="str">
        <x:v>demand_001</x:v>
      </x:c>
      <x:c r="B2" s="28" t="str">
        <x:v>ercot_bess_005</x:v>
      </x:c>
      <x:c r="C2" s="28" t="str">
        <x:v>Data Center</x:v>
      </x:c>
      <x:c r="D2" s="28" t="str">
        <x:v>DFW south / Ellis County corridor</x:v>
      </x:c>
      <x:c r="E2" s="28" t="str">
        <x:v>Unknown</x:v>
      </x:c>
      <x:c r="F2" s="32" t="str"/>
      <x:c r="G2" s="28" t="str">
        <x:v>Unknown</x:v>
      </x:c>
      <x:c r="H2" s="28" t="str">
        <x:v>src_analyst_county_centroids</x:v>
      </x:c>
      <x:c r="I2" s="28" t="str">
        <x:v>Low</x:v>
      </x:c>
      <x:c r="J2" s="28" t="str">
        <x:v>County-level demand proximity placeholder for MVP prioritization; replace with real data center facility/campus layer.</x:v>
      </x:c>
    </x:row>
    <x:row r="3">
      <x:c r="A3" s="28" t="str">
        <x:v>demand_002</x:v>
      </x:c>
      <x:c r="B3" s="28" t="str">
        <x:v>ercot_bess_006</x:v>
      </x:c>
      <x:c r="C3" s="28" t="str">
        <x:v>Data Center</x:v>
      </x:c>
      <x:c r="D3" s="28" t="str">
        <x:v>DFW south / Ellis County corridor</x:v>
      </x:c>
      <x:c r="E3" s="28" t="str">
        <x:v>Unknown</x:v>
      </x:c>
      <x:c r="F3" s="32" t="str"/>
      <x:c r="G3" s="28" t="str">
        <x:v>Unknown</x:v>
      </x:c>
      <x:c r="H3" s="28" t="str">
        <x:v>src_analyst_county_centroids</x:v>
      </x:c>
      <x:c r="I3" s="28" t="str">
        <x:v>Low</x:v>
      </x:c>
      <x:c r="J3" s="28" t="str">
        <x:v>County-level demand proximity placeholder for MVP prioritization; replace with real data center facility/campus layer.</x:v>
      </x:c>
    </x:row>
    <x:row r="4">
      <x:c r="A4" s="28" t="str">
        <x:v>demand_003</x:v>
      </x:c>
      <x:c r="B4" s="28" t="str">
        <x:v>ercot_bess_007</x:v>
      </x:c>
      <x:c r="C4" s="28" t="str">
        <x:v>Data Center</x:v>
      </x:c>
      <x:c r="D4" s="28" t="str">
        <x:v>DFW west / Parker County corridor</x:v>
      </x:c>
      <x:c r="E4" s="28" t="str">
        <x:v>Unknown</x:v>
      </x:c>
      <x:c r="F4" s="32" t="str"/>
      <x:c r="G4" s="28" t="str">
        <x:v>Unknown</x:v>
      </x:c>
      <x:c r="H4" s="28" t="str">
        <x:v>src_analyst_county_centroids</x:v>
      </x:c>
      <x:c r="I4" s="28" t="str">
        <x:v>Low</x:v>
      </x:c>
      <x:c r="J4" s="28" t="str">
        <x:v>County-level demand proximity placeholder for MVP prioritization; replace with real data center facility/campus layer.</x:v>
      </x:c>
    </x:row>
    <x:row r="5">
      <x:c r="A5" s="28" t="str">
        <x:v>demand_004</x:v>
      </x:c>
      <x:c r="B5" s="28" t="str">
        <x:v>ercot_bess_008</x:v>
      </x:c>
      <x:c r="C5" s="28" t="str">
        <x:v>Data Center</x:v>
      </x:c>
      <x:c r="D5" s="28" t="str">
        <x:v>DFW west / Parker County corridor</x:v>
      </x:c>
      <x:c r="E5" s="28" t="str">
        <x:v>Unknown</x:v>
      </x:c>
      <x:c r="F5" s="32" t="str"/>
      <x:c r="G5" s="28" t="str">
        <x:v>Unknown</x:v>
      </x:c>
      <x:c r="H5" s="28" t="str">
        <x:v>src_analyst_county_centroids</x:v>
      </x:c>
      <x:c r="I5" s="28" t="str">
        <x:v>Low</x:v>
      </x:c>
      <x:c r="J5" s="28" t="str">
        <x:v>County-level demand proximity placeholder for MVP prioritization; replace with real data center facility/campus layer.</x:v>
      </x:c>
    </x:row>
    <x:row r="6">
      <x:c r="A6" s="28" t="str">
        <x:v>demand_005</x:v>
      </x:c>
      <x:c r="B6" s="28" t="str">
        <x:v>ercot_bess_009</x:v>
      </x:c>
      <x:c r="C6" s="28" t="str">
        <x:v>Data Center</x:v>
      </x:c>
      <x:c r="D6" s="28" t="str">
        <x:v>San Antonio data center / industrial load corridor</x:v>
      </x:c>
      <x:c r="E6" s="28" t="str">
        <x:v>Unknown</x:v>
      </x:c>
      <x:c r="F6" s="32" t="str"/>
      <x:c r="G6" s="28" t="str">
        <x:v>Unknown</x:v>
      </x:c>
      <x:c r="H6" s="28" t="str">
        <x:v>src_analyst_county_centroids</x:v>
      </x:c>
      <x:c r="I6" s="28" t="str">
        <x:v>Low</x:v>
      </x:c>
      <x:c r="J6" s="28" t="str">
        <x:v>County-level demand proximity placeholder for MVP prioritization; replace with real data center facility/campus layer.</x:v>
      </x:c>
    </x:row>
    <x:row r="7">
      <x:c r="A7" s="28" t="str">
        <x:v>demand_006</x:v>
      </x:c>
      <x:c r="B7" s="28" t="str">
        <x:v>ercot_bess_012</x:v>
      </x:c>
      <x:c r="C7" s="28" t="str">
        <x:v>Data Center</x:v>
      </x:c>
      <x:c r="D7" s="28" t="str">
        <x:v>Central Texas / Temple corridor</x:v>
      </x:c>
      <x:c r="E7" s="28" t="str">
        <x:v>Unknown</x:v>
      </x:c>
      <x:c r="F7" s="32" t="str"/>
      <x:c r="G7" s="28" t="str">
        <x:v>Unknown</x:v>
      </x:c>
      <x:c r="H7" s="28" t="str">
        <x:v>src_analyst_county_centroids</x:v>
      </x:c>
      <x:c r="I7" s="28" t="str">
        <x:v>Low</x:v>
      </x:c>
      <x:c r="J7" s="28" t="str">
        <x:v>County-level demand proximity placeholder for MVP prioritization; replace with real data center facility/campus layer.</x:v>
      </x:c>
    </x:row>
    <x:row r="8">
      <x:c r="A8" s="28" t="str">
        <x:v>demand_007</x:v>
      </x:c>
      <x:c r="B8" s="28" t="str">
        <x:v>ercot_bess_014</x:v>
      </x:c>
      <x:c r="C8" s="28" t="str">
        <x:v>Data Center</x:v>
      </x:c>
      <x:c r="D8" s="28" t="str">
        <x:v>Houston data center / industrial load corridor</x:v>
      </x:c>
      <x:c r="E8" s="28" t="str">
        <x:v>Unknown</x:v>
      </x:c>
      <x:c r="F8" s="32" t="str"/>
      <x:c r="G8" s="28" t="str">
        <x:v>Unknown</x:v>
      </x:c>
      <x:c r="H8" s="28" t="str">
        <x:v>src_analyst_county_centroids</x:v>
      </x:c>
      <x:c r="I8" s="28" t="str">
        <x:v>Low</x:v>
      </x:c>
      <x:c r="J8" s="28" t="str">
        <x:v>County-level demand proximity placeholder for MVP prioritization; replace with real data center facility/campus layer.</x:v>
      </x:c>
    </x:row>
    <x:row r="9">
      <x:c r="A9" s="28" t="str">
        <x:v>demand_008</x:v>
      </x:c>
      <x:c r="B9" s="28" t="str">
        <x:v>ercot_bess_018</x:v>
      </x:c>
      <x:c r="C9" s="28" t="str">
        <x:v>Data Center</x:v>
      </x:c>
      <x:c r="D9" s="28" t="str">
        <x:v>Houston data center / industrial load corridor</x:v>
      </x:c>
      <x:c r="E9" s="28" t="str">
        <x:v>Unknown</x:v>
      </x:c>
      <x:c r="F9" s="32" t="str"/>
      <x:c r="G9" s="28" t="str">
        <x:v>Unknown</x:v>
      </x:c>
      <x:c r="H9" s="28" t="str">
        <x:v>src_analyst_county_centroids</x:v>
      </x:c>
      <x:c r="I9" s="28" t="str">
        <x:v>Low</x:v>
      </x:c>
      <x:c r="J9" s="28" t="str">
        <x:v>County-level demand proximity placeholder for MVP prioritization; replace with real data center facility/campus layer.</x:v>
      </x:c>
    </x:row>
    <x:row r="10">
      <x:c r="A10" s="28" t="str">
        <x:v>demand_009</x:v>
      </x:c>
      <x:c r="B10" s="28" t="str">
        <x:v>ercot_bess_019</x:v>
      </x:c>
      <x:c r="C10" s="28" t="str">
        <x:v>Data Center</x:v>
      </x:c>
      <x:c r="D10" s="28" t="str">
        <x:v>Houston west / Fort Bend demand corridor</x:v>
      </x:c>
      <x:c r="E10" s="28" t="str">
        <x:v>Unknown</x:v>
      </x:c>
      <x:c r="F10" s="32" t="str"/>
      <x:c r="G10" s="28" t="str">
        <x:v>Unknown</x:v>
      </x:c>
      <x:c r="H10" s="28" t="str">
        <x:v>src_analyst_county_centroids</x:v>
      </x:c>
      <x:c r="I10" s="28" t="str">
        <x:v>Low</x:v>
      </x:c>
      <x:c r="J10" s="28" t="str">
        <x:v>County-level demand proximity placeholder for MVP prioritization; replace with real data center facility/campus layer.</x:v>
      </x:c>
    </x:row>
    <x:row r="11">
      <x:c r="A11" s="28" t="str">
        <x:v>demand_010</x:v>
      </x:c>
      <x:c r="B11" s="28" t="str">
        <x:v>ercot_bess_021</x:v>
      </x:c>
      <x:c r="C11" s="28" t="str">
        <x:v>Data Center</x:v>
      </x:c>
      <x:c r="D11" s="28" t="str">
        <x:v>Houston west / Waller demand corridor</x:v>
      </x:c>
      <x:c r="E11" s="28" t="str">
        <x:v>Unknown</x:v>
      </x:c>
      <x:c r="F11" s="32" t="str"/>
      <x:c r="G11" s="28" t="str">
        <x:v>Unknown</x:v>
      </x:c>
      <x:c r="H11" s="28" t="str">
        <x:v>src_analyst_county_centroids</x:v>
      </x:c>
      <x:c r="I11" s="28" t="str">
        <x:v>Low</x:v>
      </x:c>
      <x:c r="J11" s="28" t="str">
        <x:v>County-level demand proximity placeholder for MVP prioritization; replace with real data center facility/campus layer.</x:v>
      </x:c>
    </x:row>
    <x:row r="12">
      <x:c r="A12" s="28" t="str">
        <x:v>demand_011</x:v>
      </x:c>
      <x:c r="B12" s="28" t="str">
        <x:v>ercot_bess_022</x:v>
      </x:c>
      <x:c r="C12" s="28" t="str">
        <x:v>Data Center</x:v>
      </x:c>
      <x:c r="D12" s="28" t="str">
        <x:v>San Antonio north / Comal corridor</x:v>
      </x:c>
      <x:c r="E12" s="28" t="str">
        <x:v>Unknown</x:v>
      </x:c>
      <x:c r="F12" s="32" t="str"/>
      <x:c r="G12" s="28" t="str">
        <x:v>Unknown</x:v>
      </x:c>
      <x:c r="H12" s="28" t="str">
        <x:v>src_analyst_county_centroids</x:v>
      </x:c>
      <x:c r="I12" s="28" t="str">
        <x:v>Low</x:v>
      </x:c>
      <x:c r="J12" s="28" t="str">
        <x:v>County-level demand proximity placeholder for MVP prioritization; replace with real data center facility/campus layer.</x:v>
      </x:c>
    </x:row>
    <x:row r="13">
      <x:c r="A13" s="28"/>
      <x:c r="B13" s="28"/>
      <x:c r="C13" s="28"/>
      <x:c r="D13" s="28"/>
      <x:c r="E13" s="28"/>
      <x:c r="F13" s="32"/>
      <x:c r="G13" s="28"/>
      <x:c r="H13" s="28"/>
      <x:c r="I13" s="28"/>
      <x:c r="J13" s="28"/>
    </x:row>
    <x:row r="14">
      <x:c r="A14" s="28"/>
      <x:c r="B14" s="28"/>
      <x:c r="C14" s="28"/>
      <x:c r="D14" s="28"/>
      <x:c r="E14" s="28"/>
      <x:c r="F14" s="32"/>
      <x:c r="G14" s="28"/>
      <x:c r="H14" s="28"/>
      <x:c r="I14" s="28"/>
      <x:c r="J14" s="28"/>
    </x:row>
    <x:row r="15">
      <x:c r="A15" s="28"/>
      <x:c r="B15" s="28"/>
      <x:c r="C15" s="28"/>
      <x:c r="D15" s="28"/>
      <x:c r="E15" s="28"/>
      <x:c r="F15" s="32"/>
      <x:c r="G15" s="28"/>
      <x:c r="H15" s="28"/>
      <x:c r="I15" s="28"/>
      <x:c r="J15" s="28"/>
    </x:row>
    <x:row r="16">
      <x:c r="A16" s="28"/>
      <x:c r="B16" s="28"/>
      <x:c r="C16" s="28"/>
      <x:c r="D16" s="28"/>
      <x:c r="E16" s="28"/>
      <x:c r="F16" s="32"/>
      <x:c r="G16" s="28"/>
      <x:c r="H16" s="28"/>
      <x:c r="I16" s="28"/>
      <x:c r="J16" s="28"/>
    </x:row>
    <x:row r="17">
      <x:c r="A17" s="28"/>
      <x:c r="B17" s="28"/>
      <x:c r="C17" s="28"/>
      <x:c r="D17" s="28"/>
      <x:c r="E17" s="28"/>
      <x:c r="F17" s="32"/>
      <x:c r="G17" s="28"/>
      <x:c r="H17" s="28"/>
      <x:c r="I17" s="28"/>
      <x:c r="J17" s="28"/>
    </x:row>
    <x:row r="18">
      <x:c r="A18" s="28"/>
      <x:c r="B18" s="28"/>
      <x:c r="C18" s="28"/>
      <x:c r="D18" s="28"/>
      <x:c r="E18" s="28"/>
      <x:c r="F18" s="32"/>
      <x:c r="G18" s="28"/>
      <x:c r="H18" s="28"/>
      <x:c r="I18" s="28"/>
      <x:c r="J18" s="28"/>
    </x:row>
    <x:row r="19">
      <x:c r="A19" s="28"/>
      <x:c r="B19" s="28"/>
      <x:c r="C19" s="28"/>
      <x:c r="D19" s="28"/>
      <x:c r="E19" s="28"/>
      <x:c r="F19" s="32"/>
      <x:c r="G19" s="28"/>
      <x:c r="H19" s="28"/>
      <x:c r="I19" s="28"/>
      <x:c r="J19" s="28"/>
    </x:row>
    <x:row r="20">
      <x:c r="A20" s="28"/>
      <x:c r="B20" s="28"/>
      <x:c r="C20" s="28"/>
      <x:c r="D20" s="28"/>
      <x:c r="E20" s="28"/>
      <x:c r="F20" s="32"/>
      <x:c r="G20" s="28"/>
      <x:c r="H20" s="28"/>
      <x:c r="I20" s="28"/>
      <x:c r="J20" s="28"/>
    </x:row>
    <x:row r="21">
      <x:c r="A21" s="28"/>
      <x:c r="B21" s="28"/>
      <x:c r="C21" s="28"/>
      <x:c r="D21" s="28"/>
      <x:c r="E21" s="28"/>
      <x:c r="F21" s="32"/>
      <x:c r="G21" s="28"/>
      <x:c r="H21" s="28"/>
      <x:c r="I21" s="28"/>
      <x:c r="J21" s="28"/>
    </x:row>
    <x:row r="22">
      <x:c r="A22" s="28"/>
      <x:c r="B22" s="28"/>
      <x:c r="C22" s="28"/>
      <x:c r="D22" s="28"/>
      <x:c r="E22" s="28"/>
      <x:c r="F22" s="32"/>
      <x:c r="G22" s="28"/>
      <x:c r="H22" s="28"/>
      <x:c r="I22" s="28"/>
      <x:c r="J22" s="28"/>
    </x:row>
    <x:row r="23">
      <x:c r="A23" s="28"/>
      <x:c r="B23" s="28"/>
      <x:c r="C23" s="28"/>
      <x:c r="D23" s="28"/>
      <x:c r="E23" s="28"/>
      <x:c r="F23" s="32"/>
      <x:c r="G23" s="28"/>
      <x:c r="H23" s="28"/>
      <x:c r="I23" s="28"/>
      <x:c r="J23" s="28"/>
    </x:row>
    <x:row r="24">
      <x:c r="A24" s="28"/>
      <x:c r="B24" s="28"/>
      <x:c r="C24" s="28"/>
      <x:c r="D24" s="28"/>
      <x:c r="E24" s="28"/>
      <x:c r="F24" s="32"/>
      <x:c r="G24" s="28"/>
      <x:c r="H24" s="28"/>
      <x:c r="I24" s="28"/>
      <x:c r="J24" s="28"/>
    </x:row>
    <x:row r="25">
      <x:c r="A25" s="28"/>
      <x:c r="B25" s="28"/>
      <x:c r="C25" s="28"/>
      <x:c r="D25" s="28"/>
      <x:c r="E25" s="28"/>
      <x:c r="F25" s="32"/>
      <x:c r="G25" s="28"/>
      <x:c r="H25" s="28"/>
      <x:c r="I25" s="28"/>
      <x:c r="J25" s="28"/>
    </x:row>
    <x:row r="26">
      <x:c r="A26" s="28"/>
      <x:c r="B26" s="28"/>
      <x:c r="C26" s="28"/>
      <x:c r="D26" s="28"/>
      <x:c r="E26" s="28"/>
      <x:c r="F26" s="32"/>
      <x:c r="G26" s="28"/>
      <x:c r="H26" s="28"/>
      <x:c r="I26" s="28"/>
      <x:c r="J26" s="28"/>
    </x:row>
    <x:row r="27">
      <x:c r="A27" s="28"/>
      <x:c r="B27" s="28"/>
      <x:c r="C27" s="28"/>
      <x:c r="D27" s="28"/>
      <x:c r="E27" s="28"/>
      <x:c r="F27" s="32"/>
      <x:c r="G27" s="28"/>
      <x:c r="H27" s="28"/>
      <x:c r="I27" s="28"/>
      <x:c r="J27" s="28"/>
    </x:row>
    <x:row r="28">
      <x:c r="A28" s="28"/>
      <x:c r="B28" s="28"/>
      <x:c r="C28" s="28"/>
      <x:c r="D28" s="28"/>
      <x:c r="E28" s="28"/>
      <x:c r="F28" s="32"/>
      <x:c r="G28" s="28"/>
      <x:c r="H28" s="28"/>
      <x:c r="I28" s="28"/>
      <x:c r="J28" s="28"/>
    </x:row>
    <x:row r="29">
      <x:c r="A29" s="28"/>
      <x:c r="B29" s="28"/>
      <x:c r="C29" s="28"/>
      <x:c r="D29" s="28"/>
      <x:c r="E29" s="28"/>
      <x:c r="F29" s="32"/>
      <x:c r="G29" s="28"/>
      <x:c r="H29" s="28"/>
      <x:c r="I29" s="28"/>
      <x:c r="J29" s="28"/>
    </x:row>
    <x:row r="30">
      <x:c r="A30" s="28"/>
      <x:c r="B30" s="28"/>
      <x:c r="C30" s="28"/>
      <x:c r="D30" s="28"/>
      <x:c r="E30" s="28"/>
      <x:c r="F30" s="32"/>
      <x:c r="G30" s="28"/>
      <x:c r="H30" s="28"/>
      <x:c r="I30" s="28"/>
      <x:c r="J30" s="28"/>
    </x:row>
    <x:row r="31">
      <x:c r="A31" s="28"/>
      <x:c r="B31" s="28"/>
      <x:c r="C31" s="28"/>
      <x:c r="D31" s="28"/>
      <x:c r="E31" s="28"/>
      <x:c r="F31" s="32"/>
      <x:c r="G31" s="28"/>
      <x:c r="H31" s="28"/>
      <x:c r="I31" s="28"/>
      <x:c r="J31" s="28"/>
    </x:row>
    <x:row r="32">
      <x:c r="A32" s="28"/>
      <x:c r="B32" s="28"/>
      <x:c r="C32" s="28"/>
      <x:c r="D32" s="28"/>
      <x:c r="E32" s="28"/>
      <x:c r="F32" s="32"/>
      <x:c r="G32" s="28"/>
      <x:c r="H32" s="28"/>
      <x:c r="I32" s="28"/>
      <x:c r="J32" s="28"/>
    </x:row>
    <x:row r="33">
      <x:c r="A33" s="28"/>
      <x:c r="B33" s="28"/>
      <x:c r="C33" s="28"/>
      <x:c r="D33" s="28"/>
      <x:c r="E33" s="28"/>
      <x:c r="F33" s="32"/>
      <x:c r="G33" s="28"/>
      <x:c r="H33" s="28"/>
      <x:c r="I33" s="28"/>
      <x:c r="J33" s="28"/>
    </x:row>
    <x:row r="34">
      <x:c r="A34" s="28"/>
      <x:c r="B34" s="28"/>
      <x:c r="C34" s="28"/>
      <x:c r="D34" s="28"/>
      <x:c r="E34" s="28"/>
      <x:c r="F34" s="32"/>
      <x:c r="G34" s="28"/>
      <x:c r="H34" s="28"/>
      <x:c r="I34" s="28"/>
      <x:c r="J34" s="28"/>
    </x:row>
    <x:row r="35">
      <x:c r="A35" s="28"/>
      <x:c r="B35" s="28"/>
      <x:c r="C35" s="28"/>
      <x:c r="D35" s="28"/>
      <x:c r="E35" s="28"/>
      <x:c r="F35" s="32"/>
      <x:c r="G35" s="28"/>
      <x:c r="H35" s="28"/>
      <x:c r="I35" s="28"/>
      <x:c r="J35" s="28"/>
    </x:row>
    <x:row r="36">
      <x:c r="A36" s="28"/>
      <x:c r="B36" s="28"/>
      <x:c r="C36" s="28"/>
      <x:c r="D36" s="28"/>
      <x:c r="E36" s="28"/>
      <x:c r="F36" s="32"/>
      <x:c r="G36" s="28"/>
      <x:c r="H36" s="28"/>
      <x:c r="I36" s="28"/>
      <x:c r="J36" s="28"/>
    </x:row>
    <x:row r="37">
      <x:c r="A37" s="28"/>
      <x:c r="B37" s="28"/>
      <x:c r="C37" s="28"/>
      <x:c r="D37" s="28"/>
      <x:c r="E37" s="28"/>
      <x:c r="F37" s="32"/>
      <x:c r="G37" s="28"/>
      <x:c r="H37" s="28"/>
      <x:c r="I37" s="28"/>
      <x:c r="J37" s="28"/>
    </x:row>
    <x:row r="38">
      <x:c r="A38" s="28"/>
      <x:c r="B38" s="28"/>
      <x:c r="C38" s="28"/>
      <x:c r="D38" s="28"/>
      <x:c r="E38" s="28"/>
      <x:c r="F38" s="32"/>
      <x:c r="G38" s="28"/>
      <x:c r="H38" s="28"/>
      <x:c r="I38" s="28"/>
      <x:c r="J38" s="28"/>
    </x:row>
    <x:row r="39">
      <x:c r="A39" s="28"/>
      <x:c r="B39" s="28"/>
      <x:c r="C39" s="28"/>
      <x:c r="D39" s="28"/>
      <x:c r="E39" s="28"/>
      <x:c r="F39" s="32"/>
      <x:c r="G39" s="28"/>
      <x:c r="H39" s="28"/>
      <x:c r="I39" s="28"/>
      <x:c r="J39" s="28"/>
    </x:row>
    <x:row r="40">
      <x:c r="A40" s="28"/>
      <x:c r="B40" s="28"/>
      <x:c r="C40" s="28"/>
      <x:c r="D40" s="28"/>
      <x:c r="E40" s="28"/>
      <x:c r="F40" s="32"/>
      <x:c r="G40" s="28"/>
      <x:c r="H40" s="28"/>
      <x:c r="I40" s="28"/>
      <x:c r="J40" s="28"/>
    </x:row>
    <x:row r="41">
      <x:c r="A41" s="28"/>
      <x:c r="B41" s="28"/>
      <x:c r="C41" s="28"/>
      <x:c r="D41" s="28"/>
      <x:c r="E41" s="28"/>
      <x:c r="F41" s="32"/>
      <x:c r="G41" s="28"/>
      <x:c r="H41" s="28"/>
      <x:c r="I41" s="28"/>
      <x:c r="J41" s="28"/>
    </x:row>
    <x:row r="42">
      <x:c r="A42" s="28"/>
      <x:c r="B42" s="28"/>
      <x:c r="C42" s="28"/>
      <x:c r="D42" s="28"/>
      <x:c r="E42" s="28"/>
      <x:c r="F42" s="32"/>
      <x:c r="G42" s="28"/>
      <x:c r="H42" s="28"/>
      <x:c r="I42" s="28"/>
      <x:c r="J42" s="28"/>
    </x:row>
    <x:row r="43">
      <x:c r="A43" s="28"/>
      <x:c r="B43" s="28"/>
      <x:c r="C43" s="28"/>
      <x:c r="D43" s="28"/>
      <x:c r="E43" s="28"/>
      <x:c r="F43" s="32"/>
      <x:c r="G43" s="28"/>
      <x:c r="H43" s="28"/>
      <x:c r="I43" s="28"/>
      <x:c r="J43" s="28"/>
    </x:row>
    <x:row r="44">
      <x:c r="A44" s="28"/>
      <x:c r="B44" s="28"/>
      <x:c r="C44" s="28"/>
      <x:c r="D44" s="28"/>
      <x:c r="E44" s="28"/>
      <x:c r="F44" s="32"/>
      <x:c r="G44" s="28"/>
      <x:c r="H44" s="28"/>
      <x:c r="I44" s="28"/>
      <x:c r="J44" s="28"/>
    </x:row>
    <x:row r="45">
      <x:c r="A45" s="28"/>
      <x:c r="B45" s="28"/>
      <x:c r="C45" s="28"/>
      <x:c r="D45" s="28"/>
      <x:c r="E45" s="28"/>
      <x:c r="F45" s="32"/>
      <x:c r="G45" s="28"/>
      <x:c r="H45" s="28"/>
      <x:c r="I45" s="28"/>
      <x:c r="J45" s="28"/>
    </x:row>
    <x:row r="46">
      <x:c r="A46" s="28"/>
      <x:c r="B46" s="28"/>
      <x:c r="C46" s="28"/>
      <x:c r="D46" s="28"/>
      <x:c r="E46" s="28"/>
      <x:c r="F46" s="32"/>
      <x:c r="G46" s="28"/>
      <x:c r="H46" s="28"/>
      <x:c r="I46" s="28"/>
      <x:c r="J46" s="28"/>
    </x:row>
    <x:row r="47">
      <x:c r="A47" s="28"/>
      <x:c r="B47" s="28"/>
      <x:c r="C47" s="28"/>
      <x:c r="D47" s="28"/>
      <x:c r="E47" s="28"/>
      <x:c r="F47" s="32"/>
      <x:c r="G47" s="28"/>
      <x:c r="H47" s="28"/>
      <x:c r="I47" s="28"/>
      <x:c r="J47" s="28"/>
    </x:row>
    <x:row r="48">
      <x:c r="A48" s="28"/>
      <x:c r="B48" s="28"/>
      <x:c r="C48" s="28"/>
      <x:c r="D48" s="28"/>
      <x:c r="E48" s="28"/>
      <x:c r="F48" s="32"/>
      <x:c r="G48" s="28"/>
      <x:c r="H48" s="28"/>
      <x:c r="I48" s="28"/>
      <x:c r="J48" s="28"/>
    </x:row>
    <x:row r="49">
      <x:c r="A49" s="28"/>
      <x:c r="B49" s="28"/>
      <x:c r="C49" s="28"/>
      <x:c r="D49" s="28"/>
      <x:c r="E49" s="28"/>
      <x:c r="F49" s="32"/>
      <x:c r="G49" s="28"/>
      <x:c r="H49" s="28"/>
      <x:c r="I49" s="28"/>
      <x:c r="J49" s="28"/>
    </x:row>
    <x:row r="50">
      <x:c r="A50" s="28"/>
      <x:c r="B50" s="28"/>
      <x:c r="C50" s="28"/>
      <x:c r="D50" s="28"/>
      <x:c r="E50" s="28"/>
      <x:c r="F50" s="32"/>
      <x:c r="G50" s="28"/>
      <x:c r="H50" s="28"/>
      <x:c r="I50" s="28"/>
      <x:c r="J50" s="28"/>
    </x:row>
    <x:row r="51">
      <x:c r="A51" s="28"/>
      <x:c r="B51" s="28"/>
      <x:c r="C51" s="28"/>
      <x:c r="D51" s="28"/>
      <x:c r="E51" s="28"/>
      <x:c r="F51" s="32"/>
      <x:c r="G51" s="28"/>
      <x:c r="H51" s="28"/>
      <x:c r="I51" s="28"/>
      <x:c r="J51" s="28"/>
    </x:row>
    <x:row r="52">
      <x:c r="A52" s="28"/>
      <x:c r="B52" s="28"/>
      <x:c r="C52" s="28"/>
      <x:c r="D52" s="28"/>
      <x:c r="E52" s="28"/>
      <x:c r="F52" s="32"/>
      <x:c r="G52" s="28"/>
      <x:c r="H52" s="28"/>
      <x:c r="I52" s="28"/>
      <x:c r="J52" s="28"/>
    </x:row>
    <x:row r="53">
      <x:c r="A53" s="28"/>
      <x:c r="B53" s="28"/>
      <x:c r="C53" s="28"/>
      <x:c r="D53" s="28"/>
      <x:c r="E53" s="28"/>
      <x:c r="F53" s="32"/>
      <x:c r="G53" s="28"/>
      <x:c r="H53" s="28"/>
      <x:c r="I53" s="28"/>
      <x:c r="J53" s="28"/>
    </x:row>
    <x:row r="54">
      <x:c r="A54" s="28"/>
      <x:c r="B54" s="28"/>
      <x:c r="C54" s="28"/>
      <x:c r="D54" s="28"/>
      <x:c r="E54" s="28"/>
      <x:c r="F54" s="32"/>
      <x:c r="G54" s="28"/>
      <x:c r="H54" s="28"/>
      <x:c r="I54" s="28"/>
      <x:c r="J54" s="28"/>
    </x:row>
    <x:row r="55">
      <x:c r="A55" s="28"/>
      <x:c r="B55" s="28"/>
      <x:c r="C55" s="28"/>
      <x:c r="D55" s="28"/>
      <x:c r="E55" s="28"/>
      <x:c r="F55" s="32"/>
      <x:c r="G55" s="28"/>
      <x:c r="H55" s="28"/>
      <x:c r="I55" s="28"/>
      <x:c r="J55" s="28"/>
    </x:row>
    <x:row r="56">
      <x:c r="A56" s="28"/>
      <x:c r="B56" s="28"/>
      <x:c r="C56" s="28"/>
      <x:c r="D56" s="28"/>
      <x:c r="E56" s="28"/>
      <x:c r="F56" s="32"/>
      <x:c r="G56" s="28"/>
      <x:c r="H56" s="28"/>
      <x:c r="I56" s="28"/>
      <x:c r="J56" s="28"/>
    </x:row>
    <x:row r="57">
      <x:c r="A57" s="28"/>
      <x:c r="B57" s="28"/>
      <x:c r="C57" s="28"/>
      <x:c r="D57" s="28"/>
      <x:c r="E57" s="28"/>
      <x:c r="F57" s="32"/>
      <x:c r="G57" s="28"/>
      <x:c r="H57" s="28"/>
      <x:c r="I57" s="28"/>
      <x:c r="J57" s="28"/>
    </x:row>
    <x:row r="58">
      <x:c r="A58" s="28"/>
      <x:c r="B58" s="28"/>
      <x:c r="C58" s="28"/>
      <x:c r="D58" s="28"/>
      <x:c r="E58" s="28"/>
      <x:c r="F58" s="32"/>
      <x:c r="G58" s="28"/>
      <x:c r="H58" s="28"/>
      <x:c r="I58" s="28"/>
      <x:c r="J58" s="28"/>
    </x:row>
    <x:row r="59">
      <x:c r="A59" s="28"/>
      <x:c r="B59" s="28"/>
      <x:c r="C59" s="28"/>
      <x:c r="D59" s="28"/>
      <x:c r="E59" s="28"/>
      <x:c r="F59" s="32"/>
      <x:c r="G59" s="28"/>
      <x:c r="H59" s="28"/>
      <x:c r="I59" s="28"/>
      <x:c r="J59" s="28"/>
    </x:row>
    <x:row r="60">
      <x:c r="A60" s="28"/>
      <x:c r="B60" s="28"/>
      <x:c r="C60" s="28"/>
      <x:c r="D60" s="28"/>
      <x:c r="E60" s="28"/>
      <x:c r="F60" s="32"/>
      <x:c r="G60" s="28"/>
      <x:c r="H60" s="28"/>
      <x:c r="I60" s="28"/>
      <x:c r="J60" s="28"/>
    </x:row>
    <x:row r="61">
      <x:c r="A61" s="28"/>
      <x:c r="B61" s="28"/>
      <x:c r="C61" s="28"/>
      <x:c r="D61" s="28"/>
      <x:c r="E61" s="28"/>
      <x:c r="F61" s="32"/>
      <x:c r="G61" s="28"/>
      <x:c r="H61" s="28"/>
      <x:c r="I61" s="28"/>
      <x:c r="J61" s="28"/>
    </x:row>
    <x:row r="62">
      <x:c r="A62" s="28"/>
      <x:c r="B62" s="28"/>
      <x:c r="C62" s="28"/>
      <x:c r="D62" s="28"/>
      <x:c r="E62" s="28"/>
      <x:c r="F62" s="32"/>
      <x:c r="G62" s="28"/>
      <x:c r="H62" s="28"/>
      <x:c r="I62" s="28"/>
      <x:c r="J62" s="28"/>
    </x:row>
    <x:row r="63">
      <x:c r="A63" s="28"/>
      <x:c r="B63" s="28"/>
      <x:c r="C63" s="28"/>
      <x:c r="D63" s="28"/>
      <x:c r="E63" s="28"/>
      <x:c r="F63" s="32"/>
      <x:c r="G63" s="28"/>
      <x:c r="H63" s="28"/>
      <x:c r="I63" s="28"/>
      <x:c r="J63" s="28"/>
    </x:row>
    <x:row r="64">
      <x:c r="A64" s="28"/>
      <x:c r="B64" s="28"/>
      <x:c r="C64" s="28"/>
      <x:c r="D64" s="28"/>
      <x:c r="E64" s="28"/>
      <x:c r="F64" s="32"/>
      <x:c r="G64" s="28"/>
      <x:c r="H64" s="28"/>
      <x:c r="I64" s="28"/>
      <x:c r="J64" s="28"/>
    </x:row>
    <x:row r="65">
      <x:c r="A65" s="28"/>
      <x:c r="B65" s="28"/>
      <x:c r="C65" s="28"/>
      <x:c r="D65" s="28"/>
      <x:c r="E65" s="28"/>
      <x:c r="F65" s="32"/>
      <x:c r="G65" s="28"/>
      <x:c r="H65" s="28"/>
      <x:c r="I65" s="28"/>
      <x:c r="J65" s="28"/>
    </x:row>
    <x:row r="66">
      <x:c r="A66" s="28"/>
      <x:c r="B66" s="28"/>
      <x:c r="C66" s="28"/>
      <x:c r="D66" s="28"/>
      <x:c r="E66" s="28"/>
      <x:c r="F66" s="32"/>
      <x:c r="G66" s="28"/>
      <x:c r="H66" s="28"/>
      <x:c r="I66" s="28"/>
      <x:c r="J66" s="28"/>
    </x:row>
    <x:row r="67">
      <x:c r="A67" s="28"/>
      <x:c r="B67" s="28"/>
      <x:c r="C67" s="28"/>
      <x:c r="D67" s="28"/>
      <x:c r="E67" s="28"/>
      <x:c r="F67" s="32"/>
      <x:c r="G67" s="28"/>
      <x:c r="H67" s="28"/>
      <x:c r="I67" s="28"/>
      <x:c r="J67" s="28"/>
    </x:row>
    <x:row r="68">
      <x:c r="A68" s="28"/>
      <x:c r="B68" s="28"/>
      <x:c r="C68" s="28"/>
      <x:c r="D68" s="28"/>
      <x:c r="E68" s="28"/>
      <x:c r="F68" s="32"/>
      <x:c r="G68" s="28"/>
      <x:c r="H68" s="28"/>
      <x:c r="I68" s="28"/>
      <x:c r="J68" s="28"/>
    </x:row>
    <x:row r="69">
      <x:c r="A69" s="28"/>
      <x:c r="B69" s="28"/>
      <x:c r="C69" s="28"/>
      <x:c r="D69" s="28"/>
      <x:c r="E69" s="28"/>
      <x:c r="F69" s="32"/>
      <x:c r="G69" s="28"/>
      <x:c r="H69" s="28"/>
      <x:c r="I69" s="28"/>
      <x:c r="J69" s="28"/>
    </x:row>
    <x:row r="70">
      <x:c r="A70" s="28"/>
      <x:c r="B70" s="28"/>
      <x:c r="C70" s="28"/>
      <x:c r="D70" s="28"/>
      <x:c r="E70" s="28"/>
      <x:c r="F70" s="32"/>
      <x:c r="G70" s="28"/>
      <x:c r="H70" s="28"/>
      <x:c r="I70" s="28"/>
      <x:c r="J70" s="28"/>
    </x:row>
    <x:row r="71">
      <x:c r="A71" s="28"/>
      <x:c r="B71" s="28"/>
      <x:c r="C71" s="28"/>
      <x:c r="D71" s="28"/>
      <x:c r="E71" s="28"/>
      <x:c r="F71" s="32"/>
      <x:c r="G71" s="28"/>
      <x:c r="H71" s="28"/>
      <x:c r="I71" s="28"/>
      <x:c r="J71" s="28"/>
    </x:row>
    <x:row r="72">
      <x:c r="A72" s="28"/>
      <x:c r="B72" s="28"/>
      <x:c r="C72" s="28"/>
      <x:c r="D72" s="28"/>
      <x:c r="E72" s="28"/>
      <x:c r="F72" s="32"/>
      <x:c r="G72" s="28"/>
      <x:c r="H72" s="28"/>
      <x:c r="I72" s="28"/>
      <x:c r="J72" s="28"/>
    </x:row>
    <x:row r="73">
      <x:c r="A73" s="28"/>
      <x:c r="B73" s="28"/>
      <x:c r="C73" s="28"/>
      <x:c r="D73" s="28"/>
      <x:c r="E73" s="28"/>
      <x:c r="F73" s="32"/>
      <x:c r="G73" s="28"/>
      <x:c r="H73" s="28"/>
      <x:c r="I73" s="28"/>
      <x:c r="J73" s="28"/>
    </x:row>
    <x:row r="74">
      <x:c r="A74" s="28"/>
      <x:c r="B74" s="28"/>
      <x:c r="C74" s="28"/>
      <x:c r="D74" s="28"/>
      <x:c r="E74" s="28"/>
      <x:c r="F74" s="32"/>
      <x:c r="G74" s="28"/>
      <x:c r="H74" s="28"/>
      <x:c r="I74" s="28"/>
      <x:c r="J74" s="28"/>
    </x:row>
    <x:row r="75">
      <x:c r="A75" s="28"/>
      <x:c r="B75" s="28"/>
      <x:c r="C75" s="28"/>
      <x:c r="D75" s="28"/>
      <x:c r="E75" s="28"/>
      <x:c r="F75" s="32"/>
      <x:c r="G75" s="28"/>
      <x:c r="H75" s="28"/>
      <x:c r="I75" s="28"/>
      <x:c r="J75" s="28"/>
    </x:row>
    <x:row r="76">
      <x:c r="A76" s="28"/>
      <x:c r="B76" s="28"/>
      <x:c r="C76" s="28"/>
      <x:c r="D76" s="28"/>
      <x:c r="E76" s="28"/>
      <x:c r="F76" s="32"/>
      <x:c r="G76" s="28"/>
      <x:c r="H76" s="28"/>
      <x:c r="I76" s="28"/>
      <x:c r="J76" s="28"/>
    </x:row>
    <x:row r="77">
      <x:c r="A77" s="28"/>
      <x:c r="B77" s="28"/>
      <x:c r="C77" s="28"/>
      <x:c r="D77" s="28"/>
      <x:c r="E77" s="28"/>
      <x:c r="F77" s="32"/>
      <x:c r="G77" s="28"/>
      <x:c r="H77" s="28"/>
      <x:c r="I77" s="28"/>
      <x:c r="J77" s="28"/>
    </x:row>
    <x:row r="78">
      <x:c r="A78" s="28"/>
      <x:c r="B78" s="28"/>
      <x:c r="C78" s="28"/>
      <x:c r="D78" s="28"/>
      <x:c r="E78" s="28"/>
      <x:c r="F78" s="32"/>
      <x:c r="G78" s="28"/>
      <x:c r="H78" s="28"/>
      <x:c r="I78" s="28"/>
      <x:c r="J78" s="28"/>
    </x:row>
    <x:row r="79">
      <x:c r="A79" s="28"/>
      <x:c r="B79" s="28"/>
      <x:c r="C79" s="28"/>
      <x:c r="D79" s="28"/>
      <x:c r="E79" s="28"/>
      <x:c r="F79" s="32"/>
      <x:c r="G79" s="28"/>
      <x:c r="H79" s="28"/>
      <x:c r="I79" s="28"/>
      <x:c r="J79" s="28"/>
    </x:row>
    <x:row r="80">
      <x:c r="A80" s="28"/>
      <x:c r="B80" s="28"/>
      <x:c r="C80" s="28"/>
      <x:c r="D80" s="28"/>
      <x:c r="E80" s="28"/>
      <x:c r="F80" s="32"/>
      <x:c r="G80" s="28"/>
      <x:c r="H80" s="28"/>
      <x:c r="I80" s="28"/>
      <x:c r="J80" s="28"/>
    </x:row>
    <x:row r="81">
      <x:c r="A81" s="28"/>
      <x:c r="B81" s="28"/>
      <x:c r="C81" s="28"/>
      <x:c r="D81" s="28"/>
      <x:c r="E81" s="28"/>
      <x:c r="F81" s="32"/>
      <x:c r="G81" s="28"/>
      <x:c r="H81" s="28"/>
      <x:c r="I81" s="28"/>
      <x:c r="J81" s="28"/>
    </x:row>
    <x:row r="82">
      <x:c r="A82" s="28"/>
      <x:c r="B82" s="28"/>
      <x:c r="C82" s="28"/>
      <x:c r="D82" s="28"/>
      <x:c r="E82" s="28"/>
      <x:c r="F82" s="32"/>
      <x:c r="G82" s="28"/>
      <x:c r="H82" s="28"/>
      <x:c r="I82" s="28"/>
      <x:c r="J82" s="28"/>
    </x:row>
    <x:row r="83">
      <x:c r="A83" s="28"/>
      <x:c r="B83" s="28"/>
      <x:c r="C83" s="28"/>
      <x:c r="D83" s="28"/>
      <x:c r="E83" s="28"/>
      <x:c r="F83" s="32"/>
      <x:c r="G83" s="28"/>
      <x:c r="H83" s="28"/>
      <x:c r="I83" s="28"/>
      <x:c r="J83" s="28"/>
    </x:row>
    <x:row r="84">
      <x:c r="A84" s="28"/>
      <x:c r="B84" s="28"/>
      <x:c r="C84" s="28"/>
      <x:c r="D84" s="28"/>
      <x:c r="E84" s="28"/>
      <x:c r="F84" s="32"/>
      <x:c r="G84" s="28"/>
      <x:c r="H84" s="28"/>
      <x:c r="I84" s="28"/>
      <x:c r="J84" s="28"/>
    </x:row>
    <x:row r="85">
      <x:c r="A85" s="28"/>
      <x:c r="B85" s="28"/>
      <x:c r="C85" s="28"/>
      <x:c r="D85" s="28"/>
      <x:c r="E85" s="28"/>
      <x:c r="F85" s="32"/>
      <x:c r="G85" s="28"/>
      <x:c r="H85" s="28"/>
      <x:c r="I85" s="28"/>
      <x:c r="J85" s="28"/>
    </x:row>
    <x:row r="86">
      <x:c r="A86" s="28"/>
      <x:c r="B86" s="28"/>
      <x:c r="C86" s="28"/>
      <x:c r="D86" s="28"/>
      <x:c r="E86" s="28"/>
      <x:c r="F86" s="32"/>
      <x:c r="G86" s="28"/>
      <x:c r="H86" s="28"/>
      <x:c r="I86" s="28"/>
      <x:c r="J86" s="28"/>
    </x:row>
    <x:row r="87">
      <x:c r="A87" s="28"/>
      <x:c r="B87" s="28"/>
      <x:c r="C87" s="28"/>
      <x:c r="D87" s="28"/>
      <x:c r="E87" s="28"/>
      <x:c r="F87" s="32"/>
      <x:c r="G87" s="28"/>
      <x:c r="H87" s="28"/>
      <x:c r="I87" s="28"/>
      <x:c r="J87" s="28"/>
    </x:row>
    <x:row r="88">
      <x:c r="A88" s="28"/>
      <x:c r="B88" s="28"/>
      <x:c r="C88" s="28"/>
      <x:c r="D88" s="28"/>
      <x:c r="E88" s="28"/>
      <x:c r="F88" s="32"/>
      <x:c r="G88" s="28"/>
      <x:c r="H88" s="28"/>
      <x:c r="I88" s="28"/>
      <x:c r="J88" s="28"/>
    </x:row>
    <x:row r="89">
      <x:c r="A89" s="28"/>
      <x:c r="B89" s="28"/>
      <x:c r="C89" s="28"/>
      <x:c r="D89" s="28"/>
      <x:c r="E89" s="28"/>
      <x:c r="F89" s="32"/>
      <x:c r="G89" s="28"/>
      <x:c r="H89" s="28"/>
      <x:c r="I89" s="28"/>
      <x:c r="J89" s="28"/>
    </x:row>
    <x:row r="90">
      <x:c r="A90" s="28"/>
      <x:c r="B90" s="28"/>
      <x:c r="C90" s="28"/>
      <x:c r="D90" s="28"/>
      <x:c r="E90" s="28"/>
      <x:c r="F90" s="32"/>
      <x:c r="G90" s="28"/>
      <x:c r="H90" s="28"/>
      <x:c r="I90" s="28"/>
      <x:c r="J90" s="28"/>
    </x:row>
    <x:row r="91">
      <x:c r="A91" s="28"/>
      <x:c r="B91" s="28"/>
      <x:c r="C91" s="28"/>
      <x:c r="D91" s="28"/>
      <x:c r="E91" s="28"/>
      <x:c r="F91" s="32"/>
      <x:c r="G91" s="28"/>
      <x:c r="H91" s="28"/>
      <x:c r="I91" s="28"/>
      <x:c r="J91" s="28"/>
    </x:row>
    <x:row r="92">
      <x:c r="A92" s="28"/>
      <x:c r="B92" s="28"/>
      <x:c r="C92" s="28"/>
      <x:c r="D92" s="28"/>
      <x:c r="E92" s="28"/>
      <x:c r="F92" s="32"/>
      <x:c r="G92" s="28"/>
      <x:c r="H92" s="28"/>
      <x:c r="I92" s="28"/>
      <x:c r="J92" s="28"/>
    </x:row>
    <x:row r="93">
      <x:c r="A93" s="28"/>
      <x:c r="B93" s="28"/>
      <x:c r="C93" s="28"/>
      <x:c r="D93" s="28"/>
      <x:c r="E93" s="28"/>
      <x:c r="F93" s="32"/>
      <x:c r="G93" s="28"/>
      <x:c r="H93" s="28"/>
      <x:c r="I93" s="28"/>
      <x:c r="J93" s="28"/>
    </x:row>
    <x:row r="94">
      <x:c r="A94" s="28"/>
      <x:c r="B94" s="28"/>
      <x:c r="C94" s="28"/>
      <x:c r="D94" s="28"/>
      <x:c r="E94" s="28"/>
      <x:c r="F94" s="32"/>
      <x:c r="G94" s="28"/>
      <x:c r="H94" s="28"/>
      <x:c r="I94" s="28"/>
      <x:c r="J94" s="28"/>
    </x:row>
    <x:row r="95">
      <x:c r="A95" s="28"/>
      <x:c r="B95" s="28"/>
      <x:c r="C95" s="28"/>
      <x:c r="D95" s="28"/>
      <x:c r="E95" s="28"/>
      <x:c r="F95" s="32"/>
      <x:c r="G95" s="28"/>
      <x:c r="H95" s="28"/>
      <x:c r="I95" s="28"/>
      <x:c r="J95" s="28"/>
    </x:row>
    <x:row r="96">
      <x:c r="A96" s="28"/>
      <x:c r="B96" s="28"/>
      <x:c r="C96" s="28"/>
      <x:c r="D96" s="28"/>
      <x:c r="E96" s="28"/>
      <x:c r="F96" s="32"/>
      <x:c r="G96" s="28"/>
      <x:c r="H96" s="28"/>
      <x:c r="I96" s="28"/>
      <x:c r="J96" s="28"/>
    </x:row>
    <x:row r="97">
      <x:c r="A97" s="28"/>
      <x:c r="B97" s="28"/>
      <x:c r="C97" s="28"/>
      <x:c r="D97" s="28"/>
      <x:c r="E97" s="28"/>
      <x:c r="F97" s="32"/>
      <x:c r="G97" s="28"/>
      <x:c r="H97" s="28"/>
      <x:c r="I97" s="28"/>
      <x:c r="J97" s="28"/>
    </x:row>
    <x:row r="98">
      <x:c r="A98" s="28"/>
      <x:c r="B98" s="28"/>
      <x:c r="C98" s="28"/>
      <x:c r="D98" s="28"/>
      <x:c r="E98" s="28"/>
      <x:c r="F98" s="32"/>
      <x:c r="G98" s="28"/>
      <x:c r="H98" s="28"/>
      <x:c r="I98" s="28"/>
      <x:c r="J98" s="28"/>
    </x:row>
    <x:row r="99">
      <x:c r="A99" s="28"/>
      <x:c r="B99" s="28"/>
      <x:c r="C99" s="28"/>
      <x:c r="D99" s="28"/>
      <x:c r="E99" s="28"/>
      <x:c r="F99" s="32"/>
      <x:c r="G99" s="28"/>
      <x:c r="H99" s="28"/>
      <x:c r="I99" s="28"/>
      <x:c r="J99" s="28"/>
    </x:row>
    <x:row r="100">
      <x:c r="A100" s="28"/>
      <x:c r="B100" s="28"/>
      <x:c r="C100" s="28"/>
      <x:c r="D100" s="28"/>
      <x:c r="E100" s="28"/>
      <x:c r="F100" s="32"/>
      <x:c r="G100" s="28"/>
      <x:c r="H100" s="28"/>
      <x:c r="I100" s="28"/>
      <x:c r="J100" s="28"/>
    </x:row>
    <x:row r="101">
      <x:c r="A101" s="28"/>
      <x:c r="B101" s="28"/>
      <x:c r="C101" s="28"/>
      <x:c r="D101" s="28"/>
      <x:c r="E101" s="28"/>
      <x:c r="F101" s="32"/>
      <x:c r="G101" s="28"/>
      <x:c r="H101" s="28"/>
      <x:c r="I101" s="28"/>
      <x:c r="J101" s="28"/>
    </x:row>
    <x:row r="102">
      <x:c r="A102" s="28"/>
      <x:c r="B102" s="28"/>
      <x:c r="C102" s="28"/>
      <x:c r="D102" s="28"/>
      <x:c r="E102" s="28"/>
      <x:c r="F102" s="32"/>
      <x:c r="G102" s="28"/>
      <x:c r="H102" s="28"/>
      <x:c r="I102" s="28"/>
      <x:c r="J102" s="28"/>
    </x:row>
    <x:row r="103">
      <x:c r="A103" s="28"/>
      <x:c r="B103" s="28"/>
      <x:c r="C103" s="28"/>
      <x:c r="D103" s="28"/>
      <x:c r="E103" s="28"/>
      <x:c r="F103" s="32"/>
      <x:c r="G103" s="28"/>
      <x:c r="H103" s="28"/>
      <x:c r="I103" s="28"/>
      <x:c r="J103" s="28"/>
    </x:row>
    <x:row r="104">
      <x:c r="A104" s="28"/>
      <x:c r="B104" s="28"/>
      <x:c r="C104" s="28"/>
      <x:c r="D104" s="28"/>
      <x:c r="E104" s="28"/>
      <x:c r="F104" s="32"/>
      <x:c r="G104" s="28"/>
      <x:c r="H104" s="28"/>
      <x:c r="I104" s="28"/>
      <x:c r="J104" s="28"/>
    </x:row>
    <x:row r="105">
      <x:c r="A105" s="28"/>
      <x:c r="B105" s="28"/>
      <x:c r="C105" s="28"/>
      <x:c r="D105" s="28"/>
      <x:c r="E105" s="28"/>
      <x:c r="F105" s="32"/>
      <x:c r="G105" s="28"/>
      <x:c r="H105" s="28"/>
      <x:c r="I105" s="28"/>
      <x:c r="J105" s="28"/>
    </x:row>
    <x:row r="106">
      <x:c r="A106" s="28"/>
      <x:c r="B106" s="28"/>
      <x:c r="C106" s="28"/>
      <x:c r="D106" s="28"/>
      <x:c r="E106" s="28"/>
      <x:c r="F106" s="32"/>
      <x:c r="G106" s="28"/>
      <x:c r="H106" s="28"/>
      <x:c r="I106" s="28"/>
      <x:c r="J106" s="28"/>
    </x:row>
    <x:row r="107">
      <x:c r="A107" s="28"/>
      <x:c r="B107" s="28"/>
      <x:c r="C107" s="28"/>
      <x:c r="D107" s="28"/>
      <x:c r="E107" s="28"/>
      <x:c r="F107" s="32"/>
      <x:c r="G107" s="28"/>
      <x:c r="H107" s="28"/>
      <x:c r="I107" s="28"/>
      <x:c r="J107" s="28"/>
    </x:row>
    <x:row r="108">
      <x:c r="A108" s="28"/>
      <x:c r="B108" s="28"/>
      <x:c r="C108" s="28"/>
      <x:c r="D108" s="28"/>
      <x:c r="E108" s="28"/>
      <x:c r="F108" s="32"/>
      <x:c r="G108" s="28"/>
      <x:c r="H108" s="28"/>
      <x:c r="I108" s="28"/>
      <x:c r="J108" s="28"/>
    </x:row>
    <x:row r="109">
      <x:c r="A109" s="28"/>
      <x:c r="B109" s="28"/>
      <x:c r="C109" s="28"/>
      <x:c r="D109" s="28"/>
      <x:c r="E109" s="28"/>
      <x:c r="F109" s="32"/>
      <x:c r="G109" s="28"/>
      <x:c r="H109" s="28"/>
      <x:c r="I109" s="28"/>
      <x:c r="J109" s="28"/>
    </x:row>
    <x:row r="110">
      <x:c r="A110" s="28"/>
      <x:c r="B110" s="28"/>
      <x:c r="C110" s="28"/>
      <x:c r="D110" s="28"/>
      <x:c r="E110" s="28"/>
      <x:c r="F110" s="32"/>
      <x:c r="G110" s="28"/>
      <x:c r="H110" s="28"/>
      <x:c r="I110" s="28"/>
      <x:c r="J110" s="28"/>
    </x:row>
    <x:row r="111">
      <x:c r="A111" s="28"/>
      <x:c r="B111" s="28"/>
      <x:c r="C111" s="28"/>
      <x:c r="D111" s="28"/>
      <x:c r="E111" s="28"/>
      <x:c r="F111" s="32"/>
      <x:c r="G111" s="28"/>
      <x:c r="H111" s="28"/>
      <x:c r="I111" s="28"/>
      <x:c r="J111" s="28"/>
    </x:row>
    <x:row r="112">
      <x:c r="A112" s="28"/>
      <x:c r="B112" s="28"/>
      <x:c r="C112" s="28"/>
      <x:c r="D112" s="28"/>
      <x:c r="E112" s="28"/>
      <x:c r="F112" s="32"/>
      <x:c r="G112" s="28"/>
      <x:c r="H112" s="28"/>
      <x:c r="I112" s="28"/>
      <x:c r="J112" s="28"/>
    </x:row>
    <x:row r="113">
      <x:c r="A113" s="28"/>
      <x:c r="B113" s="28"/>
      <x:c r="C113" s="28"/>
      <x:c r="D113" s="28"/>
      <x:c r="E113" s="28"/>
      <x:c r="F113" s="32"/>
      <x:c r="G113" s="28"/>
      <x:c r="H113" s="28"/>
      <x:c r="I113" s="28"/>
      <x:c r="J113" s="28"/>
    </x:row>
    <x:row r="114">
      <x:c r="A114" s="28"/>
      <x:c r="B114" s="28"/>
      <x:c r="C114" s="28"/>
      <x:c r="D114" s="28"/>
      <x:c r="E114" s="28"/>
      <x:c r="F114" s="32"/>
      <x:c r="G114" s="28"/>
      <x:c r="H114" s="28"/>
      <x:c r="I114" s="28"/>
      <x:c r="J114" s="28"/>
    </x:row>
    <x:row r="115">
      <x:c r="A115" s="28"/>
      <x:c r="B115" s="28"/>
      <x:c r="C115" s="28"/>
      <x:c r="D115" s="28"/>
      <x:c r="E115" s="28"/>
      <x:c r="F115" s="32"/>
      <x:c r="G115" s="28"/>
      <x:c r="H115" s="28"/>
      <x:c r="I115" s="28"/>
      <x:c r="J115" s="28"/>
    </x:row>
    <x:row r="116">
      <x:c r="A116" s="28"/>
      <x:c r="B116" s="28"/>
      <x:c r="C116" s="28"/>
      <x:c r="D116" s="28"/>
      <x:c r="E116" s="28"/>
      <x:c r="F116" s="32"/>
      <x:c r="G116" s="28"/>
      <x:c r="H116" s="28"/>
      <x:c r="I116" s="28"/>
      <x:c r="J116" s="28"/>
    </x:row>
    <x:row r="117">
      <x:c r="A117" s="28"/>
      <x:c r="B117" s="28"/>
      <x:c r="C117" s="28"/>
      <x:c r="D117" s="28"/>
      <x:c r="E117" s="28"/>
      <x:c r="F117" s="32"/>
      <x:c r="G117" s="28"/>
      <x:c r="H117" s="28"/>
      <x:c r="I117" s="28"/>
      <x:c r="J117" s="28"/>
    </x:row>
    <x:row r="118">
      <x:c r="A118" s="28"/>
      <x:c r="B118" s="28"/>
      <x:c r="C118" s="28"/>
      <x:c r="D118" s="28"/>
      <x:c r="E118" s="28"/>
      <x:c r="F118" s="32"/>
      <x:c r="G118" s="28"/>
      <x:c r="H118" s="28"/>
      <x:c r="I118" s="28"/>
      <x:c r="J118" s="28"/>
    </x:row>
    <x:row r="119">
      <x:c r="A119" s="28"/>
      <x:c r="B119" s="28"/>
      <x:c r="C119" s="28"/>
      <x:c r="D119" s="28"/>
      <x:c r="E119" s="28"/>
      <x:c r="F119" s="32"/>
      <x:c r="G119" s="28"/>
      <x:c r="H119" s="28"/>
      <x:c r="I119" s="28"/>
      <x:c r="J119" s="28"/>
    </x:row>
    <x:row r="120">
      <x:c r="A120" s="28"/>
      <x:c r="B120" s="28"/>
      <x:c r="C120" s="28"/>
      <x:c r="D120" s="28"/>
      <x:c r="E120" s="28"/>
      <x:c r="F120" s="32"/>
      <x:c r="G120" s="28"/>
      <x:c r="H120" s="28"/>
      <x:c r="I120" s="28"/>
      <x:c r="J120" s="28"/>
    </x:row>
    <x:row r="121">
      <x:c r="A121" s="28"/>
      <x:c r="B121" s="28"/>
      <x:c r="C121" s="28"/>
      <x:c r="D121" s="28"/>
      <x:c r="E121" s="28"/>
      <x:c r="F121" s="32"/>
      <x:c r="G121" s="28"/>
      <x:c r="H121" s="28"/>
      <x:c r="I121" s="28"/>
      <x:c r="J121" s="28"/>
    </x:row>
    <x:row r="122">
      <x:c r="A122" s="28"/>
      <x:c r="B122" s="28"/>
      <x:c r="C122" s="28"/>
      <x:c r="D122" s="28"/>
      <x:c r="E122" s="28"/>
      <x:c r="F122" s="32"/>
      <x:c r="G122" s="28"/>
      <x:c r="H122" s="28"/>
      <x:c r="I122" s="28"/>
      <x:c r="J122" s="28"/>
    </x:row>
    <x:row r="123">
      <x:c r="A123" s="28"/>
      <x:c r="B123" s="28"/>
      <x:c r="C123" s="28"/>
      <x:c r="D123" s="28"/>
      <x:c r="E123" s="28"/>
      <x:c r="F123" s="32"/>
      <x:c r="G123" s="28"/>
      <x:c r="H123" s="28"/>
      <x:c r="I123" s="28"/>
      <x:c r="J123" s="28"/>
    </x:row>
    <x:row r="124">
      <x:c r="A124" s="28"/>
      <x:c r="B124" s="28"/>
      <x:c r="C124" s="28"/>
      <x:c r="D124" s="28"/>
      <x:c r="E124" s="28"/>
      <x:c r="F124" s="32"/>
      <x:c r="G124" s="28"/>
      <x:c r="H124" s="28"/>
      <x:c r="I124" s="28"/>
      <x:c r="J124" s="28"/>
    </x:row>
    <x:row r="125">
      <x:c r="A125" s="28"/>
      <x:c r="B125" s="28"/>
      <x:c r="C125" s="28"/>
      <x:c r="D125" s="28"/>
      <x:c r="E125" s="28"/>
      <x:c r="F125" s="32"/>
      <x:c r="G125" s="28"/>
      <x:c r="H125" s="28"/>
      <x:c r="I125" s="28"/>
      <x:c r="J125" s="28"/>
    </x:row>
    <x:row r="126">
      <x:c r="A126" s="28"/>
      <x:c r="B126" s="28"/>
      <x:c r="C126" s="28"/>
      <x:c r="D126" s="28"/>
      <x:c r="E126" s="28"/>
      <x:c r="F126" s="32"/>
      <x:c r="G126" s="28"/>
      <x:c r="H126" s="28"/>
      <x:c r="I126" s="28"/>
      <x:c r="J126" s="28"/>
    </x:row>
    <x:row r="127">
      <x:c r="A127" s="28"/>
      <x:c r="B127" s="28"/>
      <x:c r="C127" s="28"/>
      <x:c r="D127" s="28"/>
      <x:c r="E127" s="28"/>
      <x:c r="F127" s="32"/>
      <x:c r="G127" s="28"/>
      <x:c r="H127" s="28"/>
      <x:c r="I127" s="28"/>
      <x:c r="J127" s="28"/>
    </x:row>
    <x:row r="128">
      <x:c r="A128" s="28"/>
      <x:c r="B128" s="28"/>
      <x:c r="C128" s="28"/>
      <x:c r="D128" s="28"/>
      <x:c r="E128" s="28"/>
      <x:c r="F128" s="32"/>
      <x:c r="G128" s="28"/>
      <x:c r="H128" s="28"/>
      <x:c r="I128" s="28"/>
      <x:c r="J128" s="28"/>
    </x:row>
    <x:row r="129">
      <x:c r="A129" s="28"/>
      <x:c r="B129" s="28"/>
      <x:c r="C129" s="28"/>
      <x:c r="D129" s="28"/>
      <x:c r="E129" s="28"/>
      <x:c r="F129" s="32"/>
      <x:c r="G129" s="28"/>
      <x:c r="H129" s="28"/>
      <x:c r="I129" s="28"/>
      <x:c r="J129" s="28"/>
    </x:row>
    <x:row r="130">
      <x:c r="A130" s="28"/>
      <x:c r="B130" s="28"/>
      <x:c r="C130" s="28"/>
      <x:c r="D130" s="28"/>
      <x:c r="E130" s="28"/>
      <x:c r="F130" s="32"/>
      <x:c r="G130" s="28"/>
      <x:c r="H130" s="28"/>
      <x:c r="I130" s="28"/>
      <x:c r="J130" s="28"/>
    </x:row>
    <x:row r="131">
      <x:c r="A131" s="28"/>
      <x:c r="B131" s="28"/>
      <x:c r="C131" s="28"/>
      <x:c r="D131" s="28"/>
      <x:c r="E131" s="28"/>
      <x:c r="F131" s="32"/>
      <x:c r="G131" s="28"/>
      <x:c r="H131" s="28"/>
      <x:c r="I131" s="28"/>
      <x:c r="J131" s="28"/>
    </x:row>
    <x:row r="132">
      <x:c r="A132" s="28"/>
      <x:c r="B132" s="28"/>
      <x:c r="C132" s="28"/>
      <x:c r="D132" s="28"/>
      <x:c r="E132" s="28"/>
      <x:c r="F132" s="32"/>
      <x:c r="G132" s="28"/>
      <x:c r="H132" s="28"/>
      <x:c r="I132" s="28"/>
      <x:c r="J132" s="28"/>
    </x:row>
    <x:row r="133">
      <x:c r="A133" s="28"/>
      <x:c r="B133" s="28"/>
      <x:c r="C133" s="28"/>
      <x:c r="D133" s="28"/>
      <x:c r="E133" s="28"/>
      <x:c r="F133" s="32"/>
      <x:c r="G133" s="28"/>
      <x:c r="H133" s="28"/>
      <x:c r="I133" s="28"/>
      <x:c r="J133" s="28"/>
    </x:row>
    <x:row r="134">
      <x:c r="A134" s="28"/>
      <x:c r="B134" s="28"/>
      <x:c r="C134" s="28"/>
      <x:c r="D134" s="28"/>
      <x:c r="E134" s="28"/>
      <x:c r="F134" s="32"/>
      <x:c r="G134" s="28"/>
      <x:c r="H134" s="28"/>
      <x:c r="I134" s="28"/>
      <x:c r="J134" s="28"/>
    </x:row>
    <x:row r="135">
      <x:c r="A135" s="28"/>
      <x:c r="B135" s="28"/>
      <x:c r="C135" s="28"/>
      <x:c r="D135" s="28"/>
      <x:c r="E135" s="28"/>
      <x:c r="F135" s="32"/>
      <x:c r="G135" s="28"/>
      <x:c r="H135" s="28"/>
      <x:c r="I135" s="28"/>
      <x:c r="J135" s="28"/>
    </x:row>
    <x:row r="136">
      <x:c r="A136" s="28"/>
      <x:c r="B136" s="28"/>
      <x:c r="C136" s="28"/>
      <x:c r="D136" s="28"/>
      <x:c r="E136" s="28"/>
      <x:c r="F136" s="32"/>
      <x:c r="G136" s="28"/>
      <x:c r="H136" s="28"/>
      <x:c r="I136" s="28"/>
      <x:c r="J136" s="28"/>
    </x:row>
    <x:row r="137">
      <x:c r="A137" s="28"/>
      <x:c r="B137" s="28"/>
      <x:c r="C137" s="28"/>
      <x:c r="D137" s="28"/>
      <x:c r="E137" s="28"/>
      <x:c r="F137" s="32"/>
      <x:c r="G137" s="28"/>
      <x:c r="H137" s="28"/>
      <x:c r="I137" s="28"/>
      <x:c r="J137" s="28"/>
    </x:row>
    <x:row r="138">
      <x:c r="A138" s="28"/>
      <x:c r="B138" s="28"/>
      <x:c r="C138" s="28"/>
      <x:c r="D138" s="28"/>
      <x:c r="E138" s="28"/>
      <x:c r="F138" s="32"/>
      <x:c r="G138" s="28"/>
      <x:c r="H138" s="28"/>
      <x:c r="I138" s="28"/>
      <x:c r="J138" s="28"/>
    </x:row>
    <x:row r="139">
      <x:c r="A139" s="28"/>
      <x:c r="B139" s="28"/>
      <x:c r="C139" s="28"/>
      <x:c r="D139" s="28"/>
      <x:c r="E139" s="28"/>
      <x:c r="F139" s="32"/>
      <x:c r="G139" s="28"/>
      <x:c r="H139" s="28"/>
      <x:c r="I139" s="28"/>
      <x:c r="J139" s="28"/>
    </x:row>
    <x:row r="140">
      <x:c r="A140" s="28"/>
      <x:c r="B140" s="28"/>
      <x:c r="C140" s="28"/>
      <x:c r="D140" s="28"/>
      <x:c r="E140" s="28"/>
      <x:c r="F140" s="32"/>
      <x:c r="G140" s="28"/>
      <x:c r="H140" s="28"/>
      <x:c r="I140" s="28"/>
      <x:c r="J140" s="28"/>
    </x:row>
    <x:row r="141">
      <x:c r="A141" s="28"/>
      <x:c r="B141" s="28"/>
      <x:c r="C141" s="28"/>
      <x:c r="D141" s="28"/>
      <x:c r="E141" s="28"/>
      <x:c r="F141" s="32"/>
      <x:c r="G141" s="28"/>
      <x:c r="H141" s="28"/>
      <x:c r="I141" s="28"/>
      <x:c r="J141" s="28"/>
    </x:row>
    <x:row r="142">
      <x:c r="A142" s="28"/>
      <x:c r="B142" s="28"/>
      <x:c r="C142" s="28"/>
      <x:c r="D142" s="28"/>
      <x:c r="E142" s="28"/>
      <x:c r="F142" s="32"/>
      <x:c r="G142" s="28"/>
      <x:c r="H142" s="28"/>
      <x:c r="I142" s="28"/>
      <x:c r="J142" s="28"/>
    </x:row>
    <x:row r="143">
      <x:c r="A143" s="28"/>
      <x:c r="B143" s="28"/>
      <x:c r="C143" s="28"/>
      <x:c r="D143" s="28"/>
      <x:c r="E143" s="28"/>
      <x:c r="F143" s="32"/>
      <x:c r="G143" s="28"/>
      <x:c r="H143" s="28"/>
      <x:c r="I143" s="28"/>
      <x:c r="J143" s="28"/>
    </x:row>
    <x:row r="144">
      <x:c r="A144" s="28"/>
      <x:c r="B144" s="28"/>
      <x:c r="C144" s="28"/>
      <x:c r="D144" s="28"/>
      <x:c r="E144" s="28"/>
      <x:c r="F144" s="32"/>
      <x:c r="G144" s="28"/>
      <x:c r="H144" s="28"/>
      <x:c r="I144" s="28"/>
      <x:c r="J144" s="28"/>
    </x:row>
    <x:row r="145">
      <x:c r="A145" s="28"/>
      <x:c r="B145" s="28"/>
      <x:c r="C145" s="28"/>
      <x:c r="D145" s="28"/>
      <x:c r="E145" s="28"/>
      <x:c r="F145" s="32"/>
      <x:c r="G145" s="28"/>
      <x:c r="H145" s="28"/>
      <x:c r="I145" s="28"/>
      <x:c r="J145" s="28"/>
    </x:row>
    <x:row r="146">
      <x:c r="A146" s="28"/>
      <x:c r="B146" s="28"/>
      <x:c r="C146" s="28"/>
      <x:c r="D146" s="28"/>
      <x:c r="E146" s="28"/>
      <x:c r="F146" s="32"/>
      <x:c r="G146" s="28"/>
      <x:c r="H146" s="28"/>
      <x:c r="I146" s="28"/>
      <x:c r="J146" s="28"/>
    </x:row>
    <x:row r="147">
      <x:c r="A147" s="28"/>
      <x:c r="B147" s="28"/>
      <x:c r="C147" s="28"/>
      <x:c r="D147" s="28"/>
      <x:c r="E147" s="28"/>
      <x:c r="F147" s="32"/>
      <x:c r="G147" s="28"/>
      <x:c r="H147" s="28"/>
      <x:c r="I147" s="28"/>
      <x:c r="J147" s="28"/>
    </x:row>
    <x:row r="148">
      <x:c r="A148" s="28"/>
      <x:c r="B148" s="28"/>
      <x:c r="C148" s="28"/>
      <x:c r="D148" s="28"/>
      <x:c r="E148" s="28"/>
      <x:c r="F148" s="32"/>
      <x:c r="G148" s="28"/>
      <x:c r="H148" s="28"/>
      <x:c r="I148" s="28"/>
      <x:c r="J148" s="28"/>
    </x:row>
    <x:row r="149">
      <x:c r="A149" s="28"/>
      <x:c r="B149" s="28"/>
      <x:c r="C149" s="28"/>
      <x:c r="D149" s="28"/>
      <x:c r="E149" s="28"/>
      <x:c r="F149" s="32"/>
      <x:c r="G149" s="28"/>
      <x:c r="H149" s="28"/>
      <x:c r="I149" s="28"/>
      <x:c r="J149" s="28"/>
    </x:row>
    <x:row r="150">
      <x:c r="A150" s="28"/>
      <x:c r="B150" s="28"/>
      <x:c r="C150" s="28"/>
      <x:c r="D150" s="28"/>
      <x:c r="E150" s="28"/>
      <x:c r="F150" s="32"/>
      <x:c r="G150" s="28"/>
      <x:c r="H150" s="28"/>
      <x:c r="I150" s="28"/>
      <x:c r="J150" s="28"/>
    </x:row>
    <x:row r="151">
      <x:c r="A151" s="28"/>
      <x:c r="B151" s="28"/>
      <x:c r="C151" s="28"/>
      <x:c r="D151" s="28"/>
      <x:c r="E151" s="28"/>
      <x:c r="F151" s="32"/>
      <x:c r="G151" s="28"/>
      <x:c r="H151" s="28"/>
      <x:c r="I151" s="28"/>
      <x:c r="J151" s="28"/>
    </x:row>
    <x:row r="152">
      <x:c r="A152" s="28"/>
      <x:c r="B152" s="28"/>
      <x:c r="C152" s="28"/>
      <x:c r="D152" s="28"/>
      <x:c r="E152" s="28"/>
      <x:c r="F152" s="32"/>
      <x:c r="G152" s="28"/>
      <x:c r="H152" s="28"/>
      <x:c r="I152" s="28"/>
      <x:c r="J152" s="28"/>
    </x:row>
    <x:row r="153">
      <x:c r="A153" s="28"/>
      <x:c r="B153" s="28"/>
      <x:c r="C153" s="28"/>
      <x:c r="D153" s="28"/>
      <x:c r="E153" s="28"/>
      <x:c r="F153" s="32"/>
      <x:c r="G153" s="28"/>
      <x:c r="H153" s="28"/>
      <x:c r="I153" s="28"/>
      <x:c r="J153" s="28"/>
    </x:row>
    <x:row r="154">
      <x:c r="A154" s="28"/>
      <x:c r="B154" s="28"/>
      <x:c r="C154" s="28"/>
      <x:c r="D154" s="28"/>
      <x:c r="E154" s="28"/>
      <x:c r="F154" s="32"/>
      <x:c r="G154" s="28"/>
      <x:c r="H154" s="28"/>
      <x:c r="I154" s="28"/>
      <x:c r="J154" s="28"/>
    </x:row>
    <x:row r="155">
      <x:c r="A155" s="28"/>
      <x:c r="B155" s="28"/>
      <x:c r="C155" s="28"/>
      <x:c r="D155" s="28"/>
      <x:c r="E155" s="28"/>
      <x:c r="F155" s="32"/>
      <x:c r="G155" s="28"/>
      <x:c r="H155" s="28"/>
      <x:c r="I155" s="28"/>
      <x:c r="J155" s="28"/>
    </x:row>
    <x:row r="156">
      <x:c r="A156" s="28"/>
      <x:c r="B156" s="28"/>
      <x:c r="C156" s="28"/>
      <x:c r="D156" s="28"/>
      <x:c r="E156" s="28"/>
      <x:c r="F156" s="32"/>
      <x:c r="G156" s="28"/>
      <x:c r="H156" s="28"/>
      <x:c r="I156" s="28"/>
      <x:c r="J156" s="28"/>
    </x:row>
    <x:row r="157">
      <x:c r="A157" s="28"/>
      <x:c r="B157" s="28"/>
      <x:c r="C157" s="28"/>
      <x:c r="D157" s="28"/>
      <x:c r="E157" s="28"/>
      <x:c r="F157" s="32"/>
      <x:c r="G157" s="28"/>
      <x:c r="H157" s="28"/>
      <x:c r="I157" s="28"/>
      <x:c r="J157" s="28"/>
    </x:row>
    <x:row r="158">
      <x:c r="A158" s="28"/>
      <x:c r="B158" s="28"/>
      <x:c r="C158" s="28"/>
      <x:c r="D158" s="28"/>
      <x:c r="E158" s="28"/>
      <x:c r="F158" s="32"/>
      <x:c r="G158" s="28"/>
      <x:c r="H158" s="28"/>
      <x:c r="I158" s="28"/>
      <x:c r="J158" s="28"/>
    </x:row>
    <x:row r="159">
      <x:c r="A159" s="28"/>
      <x:c r="B159" s="28"/>
      <x:c r="C159" s="28"/>
      <x:c r="D159" s="28"/>
      <x:c r="E159" s="28"/>
      <x:c r="F159" s="32"/>
      <x:c r="G159" s="28"/>
      <x:c r="H159" s="28"/>
      <x:c r="I159" s="28"/>
      <x:c r="J159" s="28"/>
    </x:row>
    <x:row r="160">
      <x:c r="A160" s="28"/>
      <x:c r="B160" s="28"/>
      <x:c r="C160" s="28"/>
      <x:c r="D160" s="28"/>
      <x:c r="E160" s="28"/>
      <x:c r="F160" s="32"/>
      <x:c r="G160" s="28"/>
      <x:c r="H160" s="28"/>
      <x:c r="I160" s="28"/>
      <x:c r="J160" s="28"/>
    </x:row>
    <x:row r="161">
      <x:c r="A161" s="28"/>
      <x:c r="B161" s="28"/>
      <x:c r="C161" s="28"/>
      <x:c r="D161" s="28"/>
      <x:c r="E161" s="28"/>
      <x:c r="F161" s="32"/>
      <x:c r="G161" s="28"/>
      <x:c r="H161" s="28"/>
      <x:c r="I161" s="28"/>
      <x:c r="J161" s="28"/>
    </x:row>
    <x:row r="162">
      <x:c r="A162" s="28"/>
      <x:c r="B162" s="28"/>
      <x:c r="C162" s="28"/>
      <x:c r="D162" s="28"/>
      <x:c r="E162" s="28"/>
      <x:c r="F162" s="32"/>
      <x:c r="G162" s="28"/>
      <x:c r="H162" s="28"/>
      <x:c r="I162" s="28"/>
      <x:c r="J162" s="28"/>
    </x:row>
    <x:row r="163">
      <x:c r="A163" s="28"/>
      <x:c r="B163" s="28"/>
      <x:c r="C163" s="28"/>
      <x:c r="D163" s="28"/>
      <x:c r="E163" s="28"/>
      <x:c r="F163" s="32"/>
      <x:c r="G163" s="28"/>
      <x:c r="H163" s="28"/>
      <x:c r="I163" s="28"/>
      <x:c r="J163" s="28"/>
    </x:row>
    <x:row r="164">
      <x:c r="A164" s="28"/>
      <x:c r="B164" s="28"/>
      <x:c r="C164" s="28"/>
      <x:c r="D164" s="28"/>
      <x:c r="E164" s="28"/>
      <x:c r="F164" s="32"/>
      <x:c r="G164" s="28"/>
      <x:c r="H164" s="28"/>
      <x:c r="I164" s="28"/>
      <x:c r="J164" s="28"/>
    </x:row>
    <x:row r="165">
      <x:c r="A165" s="28"/>
      <x:c r="B165" s="28"/>
      <x:c r="C165" s="28"/>
      <x:c r="D165" s="28"/>
      <x:c r="E165" s="28"/>
      <x:c r="F165" s="32"/>
      <x:c r="G165" s="28"/>
      <x:c r="H165" s="28"/>
      <x:c r="I165" s="28"/>
      <x:c r="J165" s="28"/>
    </x:row>
    <x:row r="166">
      <x:c r="A166" s="28"/>
      <x:c r="B166" s="28"/>
      <x:c r="C166" s="28"/>
      <x:c r="D166" s="28"/>
      <x:c r="E166" s="28"/>
      <x:c r="F166" s="32"/>
      <x:c r="G166" s="28"/>
      <x:c r="H166" s="28"/>
      <x:c r="I166" s="28"/>
      <x:c r="J166" s="28"/>
    </x:row>
    <x:row r="167">
      <x:c r="A167" s="28"/>
      <x:c r="B167" s="28"/>
      <x:c r="C167" s="28"/>
      <x:c r="D167" s="28"/>
      <x:c r="E167" s="28"/>
      <x:c r="F167" s="32"/>
      <x:c r="G167" s="28"/>
      <x:c r="H167" s="28"/>
      <x:c r="I167" s="28"/>
      <x:c r="J167" s="28"/>
    </x:row>
    <x:row r="168">
      <x:c r="A168" s="28"/>
      <x:c r="B168" s="28"/>
      <x:c r="C168" s="28"/>
      <x:c r="D168" s="28"/>
      <x:c r="E168" s="28"/>
      <x:c r="F168" s="32"/>
      <x:c r="G168" s="28"/>
      <x:c r="H168" s="28"/>
      <x:c r="I168" s="28"/>
      <x:c r="J168" s="28"/>
    </x:row>
    <x:row r="169">
      <x:c r="A169" s="28"/>
      <x:c r="B169" s="28"/>
      <x:c r="C169" s="28"/>
      <x:c r="D169" s="28"/>
      <x:c r="E169" s="28"/>
      <x:c r="F169" s="32"/>
      <x:c r="G169" s="28"/>
      <x:c r="H169" s="28"/>
      <x:c r="I169" s="28"/>
      <x:c r="J169" s="28"/>
    </x:row>
    <x:row r="170">
      <x:c r="A170" s="28"/>
      <x:c r="B170" s="28"/>
      <x:c r="C170" s="28"/>
      <x:c r="D170" s="28"/>
      <x:c r="E170" s="28"/>
      <x:c r="F170" s="32"/>
      <x:c r="G170" s="28"/>
      <x:c r="H170" s="28"/>
      <x:c r="I170" s="28"/>
      <x:c r="J170" s="28"/>
    </x:row>
    <x:row r="171">
      <x:c r="A171" s="28"/>
      <x:c r="B171" s="28"/>
      <x:c r="C171" s="28"/>
      <x:c r="D171" s="28"/>
      <x:c r="E171" s="28"/>
      <x:c r="F171" s="32"/>
      <x:c r="G171" s="28"/>
      <x:c r="H171" s="28"/>
      <x:c r="I171" s="28"/>
      <x:c r="J171" s="28"/>
    </x:row>
    <x:row r="172">
      <x:c r="A172" s="28"/>
      <x:c r="B172" s="28"/>
      <x:c r="C172" s="28"/>
      <x:c r="D172" s="28"/>
      <x:c r="E172" s="28"/>
      <x:c r="F172" s="32"/>
      <x:c r="G172" s="28"/>
      <x:c r="H172" s="28"/>
      <x:c r="I172" s="28"/>
      <x:c r="J172" s="28"/>
    </x:row>
    <x:row r="173">
      <x:c r="A173" s="28"/>
      <x:c r="B173" s="28"/>
      <x:c r="C173" s="28"/>
      <x:c r="D173" s="28"/>
      <x:c r="E173" s="28"/>
      <x:c r="F173" s="32"/>
      <x:c r="G173" s="28"/>
      <x:c r="H173" s="28"/>
      <x:c r="I173" s="28"/>
      <x:c r="J173" s="28"/>
    </x:row>
    <x:row r="174">
      <x:c r="A174" s="28"/>
      <x:c r="B174" s="28"/>
      <x:c r="C174" s="28"/>
      <x:c r="D174" s="28"/>
      <x:c r="E174" s="28"/>
      <x:c r="F174" s="32"/>
      <x:c r="G174" s="28"/>
      <x:c r="H174" s="28"/>
      <x:c r="I174" s="28"/>
      <x:c r="J174" s="28"/>
    </x:row>
    <x:row r="175">
      <x:c r="A175" s="28"/>
      <x:c r="B175" s="28"/>
      <x:c r="C175" s="28"/>
      <x:c r="D175" s="28"/>
      <x:c r="E175" s="28"/>
      <x:c r="F175" s="32"/>
      <x:c r="G175" s="28"/>
      <x:c r="H175" s="28"/>
      <x:c r="I175" s="28"/>
      <x:c r="J175" s="28"/>
    </x:row>
    <x:row r="176">
      <x:c r="A176" s="28"/>
      <x:c r="B176" s="28"/>
      <x:c r="C176" s="28"/>
      <x:c r="D176" s="28"/>
      <x:c r="E176" s="28"/>
      <x:c r="F176" s="32"/>
      <x:c r="G176" s="28"/>
      <x:c r="H176" s="28"/>
      <x:c r="I176" s="28"/>
      <x:c r="J176" s="28"/>
    </x:row>
    <x:row r="177">
      <x:c r="A177" s="28"/>
      <x:c r="B177" s="28"/>
      <x:c r="C177" s="28"/>
      <x:c r="D177" s="28"/>
      <x:c r="E177" s="28"/>
      <x:c r="F177" s="32"/>
      <x:c r="G177" s="28"/>
      <x:c r="H177" s="28"/>
      <x:c r="I177" s="28"/>
      <x:c r="J177" s="28"/>
    </x:row>
    <x:row r="178">
      <x:c r="A178" s="28"/>
      <x:c r="B178" s="28"/>
      <x:c r="C178" s="28"/>
      <x:c r="D178" s="28"/>
      <x:c r="E178" s="28"/>
      <x:c r="F178" s="32"/>
      <x:c r="G178" s="28"/>
      <x:c r="H178" s="28"/>
      <x:c r="I178" s="28"/>
      <x:c r="J178" s="28"/>
    </x:row>
    <x:row r="179">
      <x:c r="A179" s="28"/>
      <x:c r="B179" s="28"/>
      <x:c r="C179" s="28"/>
      <x:c r="D179" s="28"/>
      <x:c r="E179" s="28"/>
      <x:c r="F179" s="32"/>
      <x:c r="G179" s="28"/>
      <x:c r="H179" s="28"/>
      <x:c r="I179" s="28"/>
      <x:c r="J179" s="28"/>
    </x:row>
    <x:row r="180">
      <x:c r="A180" s="28"/>
      <x:c r="B180" s="28"/>
      <x:c r="C180" s="28"/>
      <x:c r="D180" s="28"/>
      <x:c r="E180" s="28"/>
      <x:c r="F180" s="32"/>
      <x:c r="G180" s="28"/>
      <x:c r="H180" s="28"/>
      <x:c r="I180" s="28"/>
      <x:c r="J180" s="28"/>
    </x:row>
    <x:row r="181">
      <x:c r="A181" s="28"/>
      <x:c r="B181" s="28"/>
      <x:c r="C181" s="28"/>
      <x:c r="D181" s="28"/>
      <x:c r="E181" s="28"/>
      <x:c r="F181" s="32"/>
      <x:c r="G181" s="28"/>
      <x:c r="H181" s="28"/>
      <x:c r="I181" s="28"/>
      <x:c r="J181" s="28"/>
    </x:row>
    <x:row r="182">
      <x:c r="A182" s="28"/>
      <x:c r="B182" s="28"/>
      <x:c r="C182" s="28"/>
      <x:c r="D182" s="28"/>
      <x:c r="E182" s="28"/>
      <x:c r="F182" s="32"/>
      <x:c r="G182" s="28"/>
      <x:c r="H182" s="28"/>
      <x:c r="I182" s="28"/>
      <x:c r="J182" s="28"/>
    </x:row>
    <x:row r="183">
      <x:c r="A183" s="28"/>
      <x:c r="B183" s="28"/>
      <x:c r="C183" s="28"/>
      <x:c r="D183" s="28"/>
      <x:c r="E183" s="28"/>
      <x:c r="F183" s="32"/>
      <x:c r="G183" s="28"/>
      <x:c r="H183" s="28"/>
      <x:c r="I183" s="28"/>
      <x:c r="J183" s="28"/>
    </x:row>
    <x:row r="184">
      <x:c r="A184" s="28"/>
      <x:c r="B184" s="28"/>
      <x:c r="C184" s="28"/>
      <x:c r="D184" s="28"/>
      <x:c r="E184" s="28"/>
      <x:c r="F184" s="32"/>
      <x:c r="G184" s="28"/>
      <x:c r="H184" s="28"/>
      <x:c r="I184" s="28"/>
      <x:c r="J184" s="28"/>
    </x:row>
    <x:row r="185">
      <x:c r="A185" s="28"/>
      <x:c r="B185" s="28"/>
      <x:c r="C185" s="28"/>
      <x:c r="D185" s="28"/>
      <x:c r="E185" s="28"/>
      <x:c r="F185" s="32"/>
      <x:c r="G185" s="28"/>
      <x:c r="H185" s="28"/>
      <x:c r="I185" s="28"/>
      <x:c r="J185" s="28"/>
    </x:row>
    <x:row r="186">
      <x:c r="A186" s="28"/>
      <x:c r="B186" s="28"/>
      <x:c r="C186" s="28"/>
      <x:c r="D186" s="28"/>
      <x:c r="E186" s="28"/>
      <x:c r="F186" s="32"/>
      <x:c r="G186" s="28"/>
      <x:c r="H186" s="28"/>
      <x:c r="I186" s="28"/>
      <x:c r="J186" s="28"/>
    </x:row>
    <x:row r="187">
      <x:c r="A187" s="28"/>
      <x:c r="B187" s="28"/>
      <x:c r="C187" s="28"/>
      <x:c r="D187" s="28"/>
      <x:c r="E187" s="28"/>
      <x:c r="F187" s="32"/>
      <x:c r="G187" s="28"/>
      <x:c r="H187" s="28"/>
      <x:c r="I187" s="28"/>
      <x:c r="J187" s="28"/>
    </x:row>
    <x:row r="188">
      <x:c r="A188" s="28"/>
      <x:c r="B188" s="28"/>
      <x:c r="C188" s="28"/>
      <x:c r="D188" s="28"/>
      <x:c r="E188" s="28"/>
      <x:c r="F188" s="32"/>
      <x:c r="G188" s="28"/>
      <x:c r="H188" s="28"/>
      <x:c r="I188" s="28"/>
      <x:c r="J188" s="28"/>
    </x:row>
    <x:row r="189">
      <x:c r="A189" s="28"/>
      <x:c r="B189" s="28"/>
      <x:c r="C189" s="28"/>
      <x:c r="D189" s="28"/>
      <x:c r="E189" s="28"/>
      <x:c r="F189" s="32"/>
      <x:c r="G189" s="28"/>
      <x:c r="H189" s="28"/>
      <x:c r="I189" s="28"/>
      <x:c r="J189" s="28"/>
    </x:row>
    <x:row r="190">
      <x:c r="A190" s="28"/>
      <x:c r="B190" s="28"/>
      <x:c r="C190" s="28"/>
      <x:c r="D190" s="28"/>
      <x:c r="E190" s="28"/>
      <x:c r="F190" s="32"/>
      <x:c r="G190" s="28"/>
      <x:c r="H190" s="28"/>
      <x:c r="I190" s="28"/>
      <x:c r="J190" s="28"/>
    </x:row>
    <x:row r="191">
      <x:c r="A191" s="28"/>
      <x:c r="B191" s="28"/>
      <x:c r="C191" s="28"/>
      <x:c r="D191" s="28"/>
      <x:c r="E191" s="28"/>
      <x:c r="F191" s="32"/>
      <x:c r="G191" s="28"/>
      <x:c r="H191" s="28"/>
      <x:c r="I191" s="28"/>
      <x:c r="J191" s="28"/>
    </x:row>
    <x:row r="192">
      <x:c r="A192" s="28"/>
      <x:c r="B192" s="28"/>
      <x:c r="C192" s="28"/>
      <x:c r="D192" s="28"/>
      <x:c r="E192" s="28"/>
      <x:c r="F192" s="32"/>
      <x:c r="G192" s="28"/>
      <x:c r="H192" s="28"/>
      <x:c r="I192" s="28"/>
      <x:c r="J192" s="28"/>
    </x:row>
    <x:row r="193">
      <x:c r="A193" s="28"/>
      <x:c r="B193" s="28"/>
      <x:c r="C193" s="28"/>
      <x:c r="D193" s="28"/>
      <x:c r="E193" s="28"/>
      <x:c r="F193" s="32"/>
      <x:c r="G193" s="28"/>
      <x:c r="H193" s="28"/>
      <x:c r="I193" s="28"/>
      <x:c r="J193" s="28"/>
    </x:row>
    <x:row r="194">
      <x:c r="A194" s="28"/>
      <x:c r="B194" s="28"/>
      <x:c r="C194" s="28"/>
      <x:c r="D194" s="28"/>
      <x:c r="E194" s="28"/>
      <x:c r="F194" s="32"/>
      <x:c r="G194" s="28"/>
      <x:c r="H194" s="28"/>
      <x:c r="I194" s="28"/>
      <x:c r="J194" s="28"/>
    </x:row>
    <x:row r="195">
      <x:c r="A195" s="28"/>
      <x:c r="B195" s="28"/>
      <x:c r="C195" s="28"/>
      <x:c r="D195" s="28"/>
      <x:c r="E195" s="28"/>
      <x:c r="F195" s="32"/>
      <x:c r="G195" s="28"/>
      <x:c r="H195" s="28"/>
      <x:c r="I195" s="28"/>
      <x:c r="J195" s="28"/>
    </x:row>
    <x:row r="196">
      <x:c r="A196" s="28"/>
      <x:c r="B196" s="28"/>
      <x:c r="C196" s="28"/>
      <x:c r="D196" s="28"/>
      <x:c r="E196" s="28"/>
      <x:c r="F196" s="32"/>
      <x:c r="G196" s="28"/>
      <x:c r="H196" s="28"/>
      <x:c r="I196" s="28"/>
      <x:c r="J196" s="28"/>
    </x:row>
    <x:row r="197">
      <x:c r="A197" s="28"/>
      <x:c r="B197" s="28"/>
      <x:c r="C197" s="28"/>
      <x:c r="D197" s="28"/>
      <x:c r="E197" s="28"/>
      <x:c r="F197" s="32"/>
      <x:c r="G197" s="28"/>
      <x:c r="H197" s="28"/>
      <x:c r="I197" s="28"/>
      <x:c r="J197" s="28"/>
    </x:row>
    <x:row r="198">
      <x:c r="A198" s="28"/>
      <x:c r="B198" s="28"/>
      <x:c r="C198" s="28"/>
      <x:c r="D198" s="28"/>
      <x:c r="E198" s="28"/>
      <x:c r="F198" s="32"/>
      <x:c r="G198" s="28"/>
      <x:c r="H198" s="28"/>
      <x:c r="I198" s="28"/>
      <x:c r="J198" s="28"/>
    </x:row>
    <x:row r="199">
      <x:c r="A199" s="28"/>
      <x:c r="B199" s="28"/>
      <x:c r="C199" s="28"/>
      <x:c r="D199" s="28"/>
      <x:c r="E199" s="28"/>
      <x:c r="F199" s="32"/>
      <x:c r="G199" s="28"/>
      <x:c r="H199" s="28"/>
      <x:c r="I199" s="28"/>
      <x:c r="J199" s="28"/>
    </x:row>
    <x:row r="200">
      <x:c r="A200" s="28"/>
      <x:c r="B200" s="28"/>
      <x:c r="C200" s="28"/>
      <x:c r="D200" s="28"/>
      <x:c r="E200" s="28"/>
      <x:c r="F200" s="32"/>
      <x:c r="G200" s="28"/>
      <x:c r="H200" s="28"/>
      <x:c r="I200" s="28"/>
      <x:c r="J200" s="28"/>
    </x:row>
    <x:row r="201">
      <x:c r="A201" s="28"/>
      <x:c r="B201" s="28"/>
      <x:c r="C201" s="28"/>
      <x:c r="D201" s="28"/>
      <x:c r="E201" s="28"/>
      <x:c r="F201" s="32"/>
      <x:c r="G201" s="28"/>
      <x:c r="H201" s="28"/>
      <x:c r="I201" s="28"/>
      <x:c r="J201" s="28"/>
    </x:row>
  </x:sheetData>
  <x:dataValidations count="3">
    <x:dataValidation type="list" showInputMessage="1" promptTitle="Choose a value" prompt="Data Center, Industrial Load, Manufacturing, Crypto, Unknown" sqref="C2:C201">
      <x:formula1>"Data Center,Industrial Load,Manufacturing,Crypto,Unknown"</x:formula1>
    </x:dataValidation>
    <x:dataValidation type="list" showInputMessage="1" promptTitle="Choose a value" prompt="Operating, Planned, Rumored, Unknown" sqref="G2:G201">
      <x:formula1>"Operating,Planned,Rumored,Unknown"</x:formula1>
    </x:dataValidation>
    <x:dataValidation type="list" showInputMessage="1" promptTitle="Choose a value" prompt="High, Medium, Low" sqref="I2:I201">
      <x:formula1>"High,Medium,Low"</x:formula1>
    </x:dataValidation>
  </x:dataValidations>
  <x:pageMargins left="0.7" right="0.7" top="0.75" bottom="0.75" header="0.3" footer="0.3"/>
  <x:tableParts count="1">
    <x:tablePart xmlns:r="http://schemas.openxmlformats.org/officeDocument/2006/relationships" r:id="R7f11cfb1761248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9.290000915527344" hidden="0" customWidth="1"/>
    <x:col min="2" max="2" width="22.860000610351562" hidden="0" customWidth="1"/>
    <x:col min="3" max="3" width="29.290000915527344" hidden="0" customWidth="1"/>
    <x:col min="4" max="4" width="15" hidden="0" customWidth="1"/>
    <x:col min="5" max="5" width="20" hidden="0" customWidth="1"/>
    <x:col min="6" max="6" width="23.56999969482422" hidden="0" customWidth="1"/>
    <x:col min="7" max="7" width="22.860000610351562" hidden="0" customWidth="1"/>
    <x:col min="8" max="8" width="22.139999389648438" hidden="0" customWidth="1"/>
  </x:cols>
  <x:sheetData>
    <x:row r="1" ht="25.5" customHeight="1">
      <x:c r="A1" s="20" t="str">
        <x:v>asset_type</x:v>
      </x:c>
      <x:c r="B1" s="20" t="str">
        <x:v>status</x:v>
      </x:c>
      <x:c r="C1" s="20" t="str">
        <x:v>signal_type</x:v>
      </x:c>
      <x:c r="D1" s="20" t="str">
        <x:v>importance</x:v>
      </x:c>
      <x:c r="E1" s="20" t="str">
        <x:v>confidence_level</x:v>
      </x:c>
      <x:c r="F1" s="20" t="str">
        <x:v>source_type</x:v>
      </x:c>
      <x:c r="G1" s="20" t="str">
        <x:v>grid_type</x:v>
      </x:c>
      <x:c r="H1" s="20" t="str">
        <x:v>demand_type</x:v>
      </x:c>
    </x:row>
    <x:row r="2">
      <x:c r="A2" t="str">
        <x:v>BESS</x:v>
      </x:c>
      <x:c r="B2" t="str">
        <x:v>Queue</x:v>
      </x:c>
      <x:c r="C2" t="str">
        <x:v>Interconnection</x:v>
      </x:c>
      <x:c r="D2" t="str">
        <x:v>High</x:v>
      </x:c>
      <x:c r="E2" t="str">
        <x:v>High</x:v>
      </x:c>
      <x:c r="F2" t="str">
        <x:v>Dataset</x:v>
      </x:c>
      <x:c r="G2" t="str">
        <x:v>Public Grid</x:v>
      </x:c>
      <x:c r="H2" t="str">
        <x:v>Data Center</x:v>
      </x:c>
    </x:row>
    <x:row r="3">
      <x:c r="A3" t="str">
        <x:v>Solar</x:v>
      </x:c>
      <x:c r="B3" t="str">
        <x:v>Announced</x:v>
      </x:c>
      <x:c r="C3" t="str">
        <x:v>Interconnection Agreement</x:v>
      </x:c>
      <x:c r="D3" t="str">
        <x:v>Medium</x:v>
      </x:c>
      <x:c r="E3" t="str">
        <x:v>Medium</x:v>
      </x:c>
      <x:c r="F3" t="str">
        <x:v>County Record</x:v>
      </x:c>
      <x:c r="G3" t="str">
        <x:v>Private</x:v>
      </x:c>
      <x:c r="H3" t="str">
        <x:v>Industrial Load</x:v>
      </x:c>
    </x:row>
    <x:row r="4">
      <x:c r="A4" t="str">
        <x:v>Wind</x:v>
      </x:c>
      <x:c r="B4" t="str">
        <x:v>Under Construction</x:v>
      </x:c>
      <x:c r="C4" t="str">
        <x:v>Land</x:v>
      </x:c>
      <x:c r="D4" t="str">
        <x:v>Low</x:v>
      </x:c>
      <x:c r="E4" t="str">
        <x:v>Low</x:v>
      </x:c>
      <x:c r="F4" t="str">
        <x:v>News</x:v>
      </x:c>
      <x:c r="G4" t="str">
        <x:v>Behind-the-Meter</x:v>
      </x:c>
      <x:c r="H4" t="str">
        <x:v>Manufacturing</x:v>
      </x:c>
    </x:row>
    <x:row r="5">
      <x:c r="A5" t="str">
        <x:v>Gas</x:v>
      </x:c>
      <x:c r="B5" t="str">
        <x:v>Operating</x:v>
      </x:c>
      <x:c r="C5" t="str">
        <x:v>Financing</x:v>
      </x:c>
      <x:c r="D5" t="str"/>
      <x:c r="E5" t="str"/>
      <x:c r="F5" t="str">
        <x:v>Press Release</x:v>
      </x:c>
      <x:c r="G5" t="str">
        <x:v>Unknown</x:v>
      </x:c>
      <x:c r="H5" t="str">
        <x:v>Crypto</x:v>
      </x:c>
    </x:row>
    <x:row r="6">
      <x:c r="A6" t="str">
        <x:v>Hybrid</x:v>
      </x:c>
      <x:c r="B6" t="str">
        <x:v>Cancelled</x:v>
      </x:c>
      <x:c r="C6" t="str">
        <x:v>PPA</x:v>
      </x:c>
      <x:c r="D6" t="str"/>
      <x:c r="E6" t="str"/>
      <x:c r="F6" t="str">
        <x:v>FERC</x:v>
      </x:c>
      <x:c r="G6" t="str"/>
      <x:c r="H6" t="str">
        <x:v>Unknown</x:v>
      </x:c>
    </x:row>
    <x:row r="7">
      <x:c r="A7" t="str">
        <x:v>Transmission</x:v>
      </x:c>
      <x:c r="B7" t="str">
        <x:v>Unknown</x:v>
      </x:c>
      <x:c r="C7" t="str">
        <x:v>Permit</x:v>
      </x:c>
      <x:c r="D7" t="str"/>
      <x:c r="E7" t="str"/>
      <x:c r="F7" t="str">
        <x:v>EIA</x:v>
      </x:c>
      <x:c r="G7" t="str"/>
      <x:c r="H7" t="str"/>
    </x:row>
    <x:row r="8">
      <x:c r="A8" t="str">
        <x:v>Substation</x:v>
      </x:c>
      <x:c r="B8" t="str"/>
      <x:c r="C8" t="str">
        <x:v>Local Government</x:v>
      </x:c>
      <x:c r="D8" t="str"/>
      <x:c r="E8" t="str"/>
      <x:c r="F8" t="str">
        <x:v>Local Agenda</x:v>
      </x:c>
      <x:c r="G8" t="str"/>
      <x:c r="H8" t="str"/>
    </x:row>
    <x:row r="9">
      <x:c r="A9" t="str">
        <x:v>Interconnection</x:v>
      </x:c>
      <x:c r="B9" t="str"/>
      <x:c r="C9" t="str">
        <x:v>Data Center Proximity</x:v>
      </x:c>
      <x:c r="D9" t="str"/>
      <x:c r="E9" t="str"/>
      <x:c r="F9" t="str">
        <x:v>Company Website</x:v>
      </x:c>
      <x:c r="G9" t="str"/>
      <x:c r="H9" t="str"/>
    </x:row>
    <x:row r="10">
      <x:c r="A10" t="str">
        <x:v>Other</x:v>
      </x:c>
      <x:c r="B10" t="str"/>
      <x:c r="C10" t="str">
        <x:v>News</x:v>
      </x:c>
      <x:c r="D10" t="str"/>
      <x:c r="E10" t="str"/>
      <x:c r="F10" t="str">
        <x:v>Other</x:v>
      </x:c>
      <x:c r="G10" t="str"/>
      <x:c r="H10" t="str"/>
    </x:row>
  </x:sheetData>
  <x:pageMargins left="0.7" right="0.7" top="0.75" bottom="0.75" header="0.3" footer="0.3"/>
</x:worksheet>
</file>